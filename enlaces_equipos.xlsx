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-\Trabajo\statsFutbol\"/>
    </mc:Choice>
  </mc:AlternateContent>
  <xr:revisionPtr revIDLastSave="0" documentId="13_ncr:1_{ADCBF9DA-E272-4F49-8C47-19A78A8B5D91}" xr6:coauthVersionLast="47" xr6:coauthVersionMax="47" xr10:uidLastSave="{00000000-0000-0000-0000-000000000000}"/>
  <bookViews>
    <workbookView xWindow="-108" yWindow="-108" windowWidth="23256" windowHeight="12456" xr2:uid="{474EBA83-D6A0-4565-BEB0-BC6B2AA992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2" i="1"/>
  <c r="I43" i="1"/>
  <c r="I44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H2" i="1" a="1"/>
  <c r="I40" i="1"/>
  <c r="I41" i="1"/>
  <c r="A72" i="1"/>
  <c r="A73" i="1"/>
  <c r="C72" i="1"/>
  <c r="C73" i="1"/>
  <c r="D72" i="1"/>
  <c r="D7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C714" i="1"/>
  <c r="C715" i="1"/>
  <c r="C716" i="1"/>
  <c r="C717" i="1"/>
  <c r="C718" i="1"/>
  <c r="D718" i="1" s="1"/>
  <c r="C719" i="1"/>
  <c r="C720" i="1"/>
  <c r="D720" i="1" s="1"/>
  <c r="C721" i="1"/>
  <c r="D721" i="1" s="1"/>
  <c r="C722" i="1"/>
  <c r="C723" i="1"/>
  <c r="C724" i="1"/>
  <c r="C725" i="1"/>
  <c r="C726" i="1"/>
  <c r="C727" i="1"/>
  <c r="C728" i="1"/>
  <c r="C729" i="1"/>
  <c r="D714" i="1"/>
  <c r="D715" i="1"/>
  <c r="D716" i="1"/>
  <c r="D717" i="1"/>
  <c r="D722" i="1"/>
  <c r="D723" i="1"/>
  <c r="D724" i="1"/>
  <c r="D725" i="1"/>
  <c r="D726" i="1"/>
  <c r="D727" i="1"/>
  <c r="D728" i="1"/>
  <c r="D729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C702" i="1"/>
  <c r="C703" i="1"/>
  <c r="C704" i="1"/>
  <c r="C705" i="1"/>
  <c r="D705" i="1" s="1"/>
  <c r="C706" i="1"/>
  <c r="D706" i="1" s="1"/>
  <c r="C707" i="1"/>
  <c r="D707" i="1" s="1"/>
  <c r="C708" i="1"/>
  <c r="D708" i="1" s="1"/>
  <c r="C709" i="1"/>
  <c r="D709" i="1" s="1"/>
  <c r="C710" i="1"/>
  <c r="D710" i="1" s="1"/>
  <c r="C711" i="1"/>
  <c r="C712" i="1"/>
  <c r="D712" i="1" s="1"/>
  <c r="C713" i="1"/>
  <c r="D702" i="1"/>
  <c r="D703" i="1"/>
  <c r="D704" i="1"/>
  <c r="D711" i="1"/>
  <c r="D713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C682" i="1"/>
  <c r="C683" i="1"/>
  <c r="C684" i="1"/>
  <c r="C685" i="1"/>
  <c r="C686" i="1"/>
  <c r="D686" i="1" s="1"/>
  <c r="C687" i="1"/>
  <c r="D687" i="1" s="1"/>
  <c r="C688" i="1"/>
  <c r="D688" i="1" s="1"/>
  <c r="C689" i="1"/>
  <c r="D689" i="1" s="1"/>
  <c r="C690" i="1"/>
  <c r="D690" i="1" s="1"/>
  <c r="C691" i="1"/>
  <c r="D691" i="1" s="1"/>
  <c r="C692" i="1"/>
  <c r="D692" i="1" s="1"/>
  <c r="C693" i="1"/>
  <c r="D693" i="1" s="1"/>
  <c r="C694" i="1"/>
  <c r="C695" i="1"/>
  <c r="C696" i="1"/>
  <c r="C697" i="1"/>
  <c r="C698" i="1"/>
  <c r="D698" i="1" s="1"/>
  <c r="C699" i="1"/>
  <c r="D699" i="1" s="1"/>
  <c r="C700" i="1"/>
  <c r="D700" i="1" s="1"/>
  <c r="C701" i="1"/>
  <c r="D701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C666" i="1"/>
  <c r="C667" i="1"/>
  <c r="C668" i="1"/>
  <c r="C669" i="1"/>
  <c r="C670" i="1"/>
  <c r="D670" i="1" s="1"/>
  <c r="C671" i="1"/>
  <c r="D671" i="1" s="1"/>
  <c r="C672" i="1"/>
  <c r="C673" i="1"/>
  <c r="D673" i="1" s="1"/>
  <c r="C674" i="1"/>
  <c r="D674" i="1" s="1"/>
  <c r="C675" i="1"/>
  <c r="D675" i="1" s="1"/>
  <c r="C676" i="1"/>
  <c r="D676" i="1" s="1"/>
  <c r="C677" i="1"/>
  <c r="D677" i="1" s="1"/>
  <c r="C678" i="1"/>
  <c r="D678" i="1" s="1"/>
  <c r="C679" i="1"/>
  <c r="D679" i="1" s="1"/>
  <c r="C680" i="1"/>
  <c r="D680" i="1" s="1"/>
  <c r="C681" i="1"/>
  <c r="D681" i="1" s="1"/>
  <c r="D666" i="1"/>
  <c r="D667" i="1"/>
  <c r="D668" i="1"/>
  <c r="D66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C650" i="1"/>
  <c r="D650" i="1" s="1"/>
  <c r="C651" i="1"/>
  <c r="D651" i="1" s="1"/>
  <c r="C652" i="1"/>
  <c r="C653" i="1"/>
  <c r="C654" i="1"/>
  <c r="D654" i="1" s="1"/>
  <c r="C655" i="1"/>
  <c r="D655" i="1" s="1"/>
  <c r="C656" i="1"/>
  <c r="D656" i="1" s="1"/>
  <c r="C657" i="1"/>
  <c r="D657" i="1" s="1"/>
  <c r="C658" i="1"/>
  <c r="D658" i="1" s="1"/>
  <c r="C659" i="1"/>
  <c r="D659" i="1" s="1"/>
  <c r="C660" i="1"/>
  <c r="D660" i="1" s="1"/>
  <c r="C661" i="1"/>
  <c r="D661" i="1" s="1"/>
  <c r="C662" i="1"/>
  <c r="D662" i="1" s="1"/>
  <c r="C663" i="1"/>
  <c r="D663" i="1" s="1"/>
  <c r="C664" i="1"/>
  <c r="C665" i="1"/>
  <c r="D652" i="1"/>
  <c r="D653" i="1"/>
  <c r="D664" i="1"/>
  <c r="D665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C638" i="1"/>
  <c r="D638" i="1" s="1"/>
  <c r="C639" i="1"/>
  <c r="D639" i="1" s="1"/>
  <c r="C640" i="1"/>
  <c r="D640" i="1" s="1"/>
  <c r="C641" i="1"/>
  <c r="D641" i="1" s="1"/>
  <c r="C642" i="1"/>
  <c r="D642" i="1" s="1"/>
  <c r="C643" i="1"/>
  <c r="D643" i="1" s="1"/>
  <c r="C644" i="1"/>
  <c r="D644" i="1" s="1"/>
  <c r="C645" i="1"/>
  <c r="C646" i="1"/>
  <c r="D646" i="1" s="1"/>
  <c r="C647" i="1"/>
  <c r="D647" i="1" s="1"/>
  <c r="C648" i="1"/>
  <c r="D648" i="1" s="1"/>
  <c r="C649" i="1"/>
  <c r="D649" i="1" s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C624" i="1"/>
  <c r="D624" i="1" s="1"/>
  <c r="C625" i="1"/>
  <c r="D625" i="1" s="1"/>
  <c r="C626" i="1"/>
  <c r="D626" i="1" s="1"/>
  <c r="C627" i="1"/>
  <c r="D627" i="1" s="1"/>
  <c r="C628" i="1"/>
  <c r="D628" i="1" s="1"/>
  <c r="C629" i="1"/>
  <c r="D629" i="1" s="1"/>
  <c r="C630" i="1"/>
  <c r="C631" i="1"/>
  <c r="D631" i="1" s="1"/>
  <c r="C632" i="1"/>
  <c r="D632" i="1" s="1"/>
  <c r="C633" i="1"/>
  <c r="C634" i="1"/>
  <c r="D634" i="1" s="1"/>
  <c r="C635" i="1"/>
  <c r="D635" i="1" s="1"/>
  <c r="C636" i="1"/>
  <c r="D636" i="1" s="1"/>
  <c r="C637" i="1"/>
  <c r="D637" i="1" s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C604" i="1"/>
  <c r="D604" i="1" s="1"/>
  <c r="C605" i="1"/>
  <c r="D605" i="1" s="1"/>
  <c r="C606" i="1"/>
  <c r="D606" i="1" s="1"/>
  <c r="C607" i="1"/>
  <c r="D607" i="1" s="1"/>
  <c r="C608" i="1"/>
  <c r="D608" i="1" s="1"/>
  <c r="C609" i="1"/>
  <c r="D609" i="1" s="1"/>
  <c r="C610" i="1"/>
  <c r="D610" i="1" s="1"/>
  <c r="C611" i="1"/>
  <c r="D611" i="1" s="1"/>
  <c r="C612" i="1"/>
  <c r="D612" i="1" s="1"/>
  <c r="C613" i="1"/>
  <c r="D613" i="1" s="1"/>
  <c r="C614" i="1"/>
  <c r="D614" i="1" s="1"/>
  <c r="C615" i="1"/>
  <c r="D615" i="1" s="1"/>
  <c r="C616" i="1"/>
  <c r="D616" i="1" s="1"/>
  <c r="C617" i="1"/>
  <c r="D617" i="1" s="1"/>
  <c r="C618" i="1"/>
  <c r="D618" i="1" s="1"/>
  <c r="C619" i="1"/>
  <c r="D619" i="1" s="1"/>
  <c r="C620" i="1"/>
  <c r="D620" i="1" s="1"/>
  <c r="C621" i="1"/>
  <c r="D621" i="1" s="1"/>
  <c r="C622" i="1"/>
  <c r="D622" i="1" s="1"/>
  <c r="C623" i="1"/>
  <c r="D623" i="1" s="1"/>
  <c r="A594" i="1"/>
  <c r="A595" i="1"/>
  <c r="A596" i="1"/>
  <c r="A597" i="1"/>
  <c r="A598" i="1"/>
  <c r="A599" i="1"/>
  <c r="A600" i="1"/>
  <c r="A601" i="1"/>
  <c r="A602" i="1"/>
  <c r="A603" i="1"/>
  <c r="C594" i="1"/>
  <c r="D594" i="1" s="1"/>
  <c r="C595" i="1"/>
  <c r="D595" i="1" s="1"/>
  <c r="C596" i="1"/>
  <c r="D596" i="1" s="1"/>
  <c r="C597" i="1"/>
  <c r="D597" i="1" s="1"/>
  <c r="C598" i="1"/>
  <c r="D598" i="1" s="1"/>
  <c r="C599" i="1"/>
  <c r="D599" i="1" s="1"/>
  <c r="C600" i="1"/>
  <c r="D600" i="1" s="1"/>
  <c r="C601" i="1"/>
  <c r="D601" i="1" s="1"/>
  <c r="C602" i="1"/>
  <c r="D602" i="1" s="1"/>
  <c r="C603" i="1"/>
  <c r="D603" i="1" s="1"/>
  <c r="A242" i="1"/>
  <c r="A243" i="1"/>
  <c r="A244" i="1"/>
  <c r="A245" i="1"/>
  <c r="A246" i="1"/>
  <c r="A247" i="1"/>
  <c r="A248" i="1"/>
  <c r="A249" i="1"/>
  <c r="A250" i="1"/>
  <c r="A251" i="1"/>
  <c r="A252" i="1"/>
  <c r="A253" i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A32" i="1"/>
  <c r="A33" i="1"/>
  <c r="A34" i="1"/>
  <c r="A35" i="1"/>
  <c r="A36" i="1"/>
  <c r="A37" i="1"/>
  <c r="A38" i="1"/>
  <c r="A39" i="1"/>
  <c r="A40" i="1"/>
  <c r="A41" i="1"/>
  <c r="A42" i="1"/>
  <c r="A43" i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C308" i="1"/>
  <c r="D308" i="1" s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D31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144" i="1"/>
  <c r="A145" i="1"/>
  <c r="A146" i="1"/>
  <c r="A147" i="1"/>
  <c r="A148" i="1"/>
  <c r="A149" i="1"/>
  <c r="A150" i="1"/>
  <c r="A151" i="1"/>
  <c r="A152" i="1"/>
  <c r="A153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494" i="1"/>
  <c r="D494" i="1" s="1"/>
  <c r="C495" i="1"/>
  <c r="D495" i="1" s="1"/>
  <c r="C496" i="1"/>
  <c r="D496" i="1" s="1"/>
  <c r="C497" i="1"/>
  <c r="D497" i="1" s="1"/>
  <c r="C498" i="1"/>
  <c r="D498" i="1" s="1"/>
  <c r="C499" i="1"/>
  <c r="D499" i="1" s="1"/>
  <c r="C500" i="1"/>
  <c r="D500" i="1" s="1"/>
  <c r="C501" i="1"/>
  <c r="D501" i="1" s="1"/>
  <c r="C502" i="1"/>
  <c r="D502" i="1" s="1"/>
  <c r="C503" i="1"/>
  <c r="D503" i="1" s="1"/>
  <c r="C504" i="1"/>
  <c r="D504" i="1" s="1"/>
  <c r="C505" i="1"/>
  <c r="D505" i="1" s="1"/>
  <c r="C506" i="1"/>
  <c r="D506" i="1" s="1"/>
  <c r="C507" i="1"/>
  <c r="D507" i="1" s="1"/>
  <c r="C508" i="1"/>
  <c r="D508" i="1" s="1"/>
  <c r="C509" i="1"/>
  <c r="D509" i="1" s="1"/>
  <c r="C510" i="1"/>
  <c r="D510" i="1" s="1"/>
  <c r="C511" i="1"/>
  <c r="D511" i="1" s="1"/>
  <c r="C512" i="1"/>
  <c r="D512" i="1" s="1"/>
  <c r="C513" i="1"/>
  <c r="D51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2" i="1"/>
  <c r="D2" i="1" s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D333" i="1" s="1"/>
  <c r="C334" i="1"/>
  <c r="D334" i="1" s="1"/>
  <c r="C335" i="1"/>
  <c r="D335" i="1" s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D341" i="1" s="1"/>
  <c r="C342" i="1"/>
  <c r="D342" i="1" s="1"/>
  <c r="C343" i="1"/>
  <c r="D343" i="1" s="1"/>
  <c r="C344" i="1"/>
  <c r="D344" i="1" s="1"/>
  <c r="C345" i="1"/>
  <c r="D345" i="1" s="1"/>
  <c r="C346" i="1"/>
  <c r="D346" i="1" s="1"/>
  <c r="C347" i="1"/>
  <c r="D347" i="1" s="1"/>
  <c r="C348" i="1"/>
  <c r="D348" i="1" s="1"/>
  <c r="C349" i="1"/>
  <c r="D349" i="1" s="1"/>
  <c r="C350" i="1"/>
  <c r="D350" i="1" s="1"/>
  <c r="C351" i="1"/>
  <c r="D351" i="1" s="1"/>
  <c r="C352" i="1"/>
  <c r="D352" i="1" s="1"/>
  <c r="C353" i="1"/>
  <c r="D353" i="1" s="1"/>
  <c r="C354" i="1"/>
  <c r="D354" i="1" s="1"/>
  <c r="C355" i="1"/>
  <c r="D355" i="1" s="1"/>
  <c r="C356" i="1"/>
  <c r="D356" i="1" s="1"/>
  <c r="C357" i="1"/>
  <c r="D357" i="1" s="1"/>
  <c r="C358" i="1"/>
  <c r="D358" i="1" s="1"/>
  <c r="C359" i="1"/>
  <c r="D359" i="1" s="1"/>
  <c r="C360" i="1"/>
  <c r="D360" i="1" s="1"/>
  <c r="C361" i="1"/>
  <c r="D361" i="1" s="1"/>
  <c r="C362" i="1"/>
  <c r="D362" i="1" s="1"/>
  <c r="C363" i="1"/>
  <c r="D363" i="1" s="1"/>
  <c r="C364" i="1"/>
  <c r="D364" i="1" s="1"/>
  <c r="C365" i="1"/>
  <c r="D365" i="1" s="1"/>
  <c r="C366" i="1"/>
  <c r="D366" i="1" s="1"/>
  <c r="C367" i="1"/>
  <c r="D367" i="1" s="1"/>
  <c r="C368" i="1"/>
  <c r="D368" i="1" s="1"/>
  <c r="C369" i="1"/>
  <c r="D369" i="1" s="1"/>
  <c r="C370" i="1"/>
  <c r="D370" i="1" s="1"/>
  <c r="C371" i="1"/>
  <c r="D371" i="1" s="1"/>
  <c r="C372" i="1"/>
  <c r="D372" i="1" s="1"/>
  <c r="C373" i="1"/>
  <c r="D373" i="1" s="1"/>
  <c r="C374" i="1"/>
  <c r="D374" i="1" s="1"/>
  <c r="C375" i="1"/>
  <c r="D375" i="1" s="1"/>
  <c r="C376" i="1"/>
  <c r="D376" i="1" s="1"/>
  <c r="C377" i="1"/>
  <c r="D377" i="1" s="1"/>
  <c r="C378" i="1"/>
  <c r="D378" i="1" s="1"/>
  <c r="C379" i="1"/>
  <c r="D379" i="1" s="1"/>
  <c r="C380" i="1"/>
  <c r="D380" i="1" s="1"/>
  <c r="C381" i="1"/>
  <c r="D381" i="1" s="1"/>
  <c r="C382" i="1"/>
  <c r="D382" i="1" s="1"/>
  <c r="C383" i="1"/>
  <c r="D383" i="1" s="1"/>
  <c r="C384" i="1"/>
  <c r="D384" i="1" s="1"/>
  <c r="C385" i="1"/>
  <c r="D385" i="1" s="1"/>
  <c r="C386" i="1"/>
  <c r="D386" i="1" s="1"/>
  <c r="C387" i="1"/>
  <c r="D387" i="1" s="1"/>
  <c r="C388" i="1"/>
  <c r="D388" i="1" s="1"/>
  <c r="C389" i="1"/>
  <c r="D389" i="1" s="1"/>
  <c r="C390" i="1"/>
  <c r="D390" i="1" s="1"/>
  <c r="C391" i="1"/>
  <c r="D391" i="1" s="1"/>
  <c r="C392" i="1"/>
  <c r="D392" i="1" s="1"/>
  <c r="C393" i="1"/>
  <c r="D393" i="1" s="1"/>
  <c r="C394" i="1"/>
  <c r="D394" i="1" s="1"/>
  <c r="C395" i="1"/>
  <c r="D395" i="1" s="1"/>
  <c r="C396" i="1"/>
  <c r="D396" i="1" s="1"/>
  <c r="C397" i="1"/>
  <c r="D397" i="1" s="1"/>
  <c r="C398" i="1"/>
  <c r="D398" i="1" s="1"/>
  <c r="C399" i="1"/>
  <c r="D399" i="1" s="1"/>
  <c r="C400" i="1"/>
  <c r="D400" i="1" s="1"/>
  <c r="C401" i="1"/>
  <c r="D401" i="1" s="1"/>
  <c r="C402" i="1"/>
  <c r="D402" i="1" s="1"/>
  <c r="C403" i="1"/>
  <c r="D403" i="1" s="1"/>
  <c r="C404" i="1"/>
  <c r="D404" i="1" s="1"/>
  <c r="C405" i="1"/>
  <c r="D405" i="1" s="1"/>
  <c r="C406" i="1"/>
  <c r="D406" i="1" s="1"/>
  <c r="C407" i="1"/>
  <c r="D407" i="1" s="1"/>
  <c r="C408" i="1"/>
  <c r="D408" i="1" s="1"/>
  <c r="C409" i="1"/>
  <c r="D409" i="1" s="1"/>
  <c r="C410" i="1"/>
  <c r="D410" i="1" s="1"/>
  <c r="C411" i="1"/>
  <c r="D411" i="1" s="1"/>
  <c r="C412" i="1"/>
  <c r="D412" i="1" s="1"/>
  <c r="C413" i="1"/>
  <c r="D413" i="1" s="1"/>
  <c r="C414" i="1"/>
  <c r="D414" i="1" s="1"/>
  <c r="C415" i="1"/>
  <c r="D415" i="1" s="1"/>
  <c r="C416" i="1"/>
  <c r="D416" i="1" s="1"/>
  <c r="C417" i="1"/>
  <c r="D417" i="1" s="1"/>
  <c r="C418" i="1"/>
  <c r="D418" i="1" s="1"/>
  <c r="C419" i="1"/>
  <c r="D419" i="1" s="1"/>
  <c r="C420" i="1"/>
  <c r="D420" i="1" s="1"/>
  <c r="C421" i="1"/>
  <c r="D421" i="1" s="1"/>
  <c r="C422" i="1"/>
  <c r="D422" i="1" s="1"/>
  <c r="C423" i="1"/>
  <c r="D423" i="1" s="1"/>
  <c r="C424" i="1"/>
  <c r="D424" i="1" s="1"/>
  <c r="C425" i="1"/>
  <c r="D425" i="1" s="1"/>
  <c r="C426" i="1"/>
  <c r="D426" i="1" s="1"/>
  <c r="C427" i="1"/>
  <c r="D427" i="1" s="1"/>
  <c r="C428" i="1"/>
  <c r="D428" i="1" s="1"/>
  <c r="C429" i="1"/>
  <c r="D429" i="1" s="1"/>
  <c r="C430" i="1"/>
  <c r="D430" i="1" s="1"/>
  <c r="C431" i="1"/>
  <c r="D431" i="1" s="1"/>
  <c r="C432" i="1"/>
  <c r="D432" i="1" s="1"/>
  <c r="C433" i="1"/>
  <c r="D433" i="1" s="1"/>
  <c r="C434" i="1"/>
  <c r="D434" i="1" s="1"/>
  <c r="C435" i="1"/>
  <c r="D435" i="1" s="1"/>
  <c r="C436" i="1"/>
  <c r="D436" i="1" s="1"/>
  <c r="C437" i="1"/>
  <c r="D437" i="1" s="1"/>
  <c r="C438" i="1"/>
  <c r="D438" i="1" s="1"/>
  <c r="C439" i="1"/>
  <c r="D439" i="1" s="1"/>
  <c r="C440" i="1"/>
  <c r="D440" i="1" s="1"/>
  <c r="C441" i="1"/>
  <c r="D441" i="1" s="1"/>
  <c r="C442" i="1"/>
  <c r="D442" i="1" s="1"/>
  <c r="C443" i="1"/>
  <c r="D443" i="1" s="1"/>
  <c r="C444" i="1"/>
  <c r="D444" i="1" s="1"/>
  <c r="C445" i="1"/>
  <c r="D445" i="1" s="1"/>
  <c r="C446" i="1"/>
  <c r="D446" i="1" s="1"/>
  <c r="C447" i="1"/>
  <c r="D447" i="1" s="1"/>
  <c r="C448" i="1"/>
  <c r="D448" i="1" s="1"/>
  <c r="C449" i="1"/>
  <c r="D449" i="1" s="1"/>
  <c r="C450" i="1"/>
  <c r="D450" i="1" s="1"/>
  <c r="C451" i="1"/>
  <c r="D451" i="1" s="1"/>
  <c r="C452" i="1"/>
  <c r="D452" i="1" s="1"/>
  <c r="C453" i="1"/>
  <c r="D453" i="1" s="1"/>
  <c r="C454" i="1"/>
  <c r="D454" i="1" s="1"/>
  <c r="C455" i="1"/>
  <c r="D455" i="1" s="1"/>
  <c r="C456" i="1"/>
  <c r="D456" i="1" s="1"/>
  <c r="C457" i="1"/>
  <c r="D457" i="1" s="1"/>
  <c r="C458" i="1"/>
  <c r="D458" i="1" s="1"/>
  <c r="C459" i="1"/>
  <c r="D459" i="1" s="1"/>
  <c r="C460" i="1"/>
  <c r="D460" i="1" s="1"/>
  <c r="C461" i="1"/>
  <c r="D461" i="1" s="1"/>
  <c r="C462" i="1"/>
  <c r="D462" i="1" s="1"/>
  <c r="C463" i="1"/>
  <c r="D463" i="1" s="1"/>
  <c r="C464" i="1"/>
  <c r="D464" i="1" s="1"/>
  <c r="C465" i="1"/>
  <c r="D465" i="1" s="1"/>
  <c r="C466" i="1"/>
  <c r="D466" i="1" s="1"/>
  <c r="C467" i="1"/>
  <c r="D467" i="1" s="1"/>
  <c r="C468" i="1"/>
  <c r="D468" i="1" s="1"/>
  <c r="C469" i="1"/>
  <c r="D469" i="1" s="1"/>
  <c r="C470" i="1"/>
  <c r="D470" i="1" s="1"/>
  <c r="C471" i="1"/>
  <c r="D471" i="1" s="1"/>
  <c r="C472" i="1"/>
  <c r="D472" i="1" s="1"/>
  <c r="C473" i="1"/>
  <c r="D473" i="1" s="1"/>
  <c r="C474" i="1"/>
  <c r="D474" i="1" s="1"/>
  <c r="C475" i="1"/>
  <c r="D475" i="1" s="1"/>
  <c r="C476" i="1"/>
  <c r="D476" i="1" s="1"/>
  <c r="C477" i="1"/>
  <c r="D477" i="1" s="1"/>
  <c r="C478" i="1"/>
  <c r="D478" i="1" s="1"/>
  <c r="C479" i="1"/>
  <c r="D479" i="1" s="1"/>
  <c r="C480" i="1"/>
  <c r="D480" i="1" s="1"/>
  <c r="C481" i="1"/>
  <c r="D481" i="1" s="1"/>
  <c r="C482" i="1"/>
  <c r="D482" i="1" s="1"/>
  <c r="C483" i="1"/>
  <c r="D483" i="1" s="1"/>
  <c r="C484" i="1"/>
  <c r="D484" i="1" s="1"/>
  <c r="C485" i="1"/>
  <c r="D485" i="1" s="1"/>
  <c r="C486" i="1"/>
  <c r="D486" i="1" s="1"/>
  <c r="C487" i="1"/>
  <c r="D487" i="1" s="1"/>
  <c r="C488" i="1"/>
  <c r="D488" i="1" s="1"/>
  <c r="C489" i="1"/>
  <c r="D489" i="1" s="1"/>
  <c r="C490" i="1"/>
  <c r="D490" i="1" s="1"/>
  <c r="C491" i="1"/>
  <c r="D491" i="1" s="1"/>
  <c r="C492" i="1"/>
  <c r="D492" i="1" s="1"/>
  <c r="C493" i="1"/>
  <c r="D493" i="1" s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D536" i="1" s="1"/>
  <c r="C537" i="1"/>
  <c r="D537" i="1" s="1"/>
  <c r="C538" i="1"/>
  <c r="D538" i="1" s="1"/>
  <c r="C539" i="1"/>
  <c r="D539" i="1" s="1"/>
  <c r="C540" i="1"/>
  <c r="D540" i="1" s="1"/>
  <c r="C541" i="1"/>
  <c r="D541" i="1" s="1"/>
  <c r="C542" i="1"/>
  <c r="D542" i="1" s="1"/>
  <c r="C543" i="1"/>
  <c r="D543" i="1" s="1"/>
  <c r="C544" i="1"/>
  <c r="D544" i="1" s="1"/>
  <c r="C545" i="1"/>
  <c r="D545" i="1" s="1"/>
  <c r="C546" i="1"/>
  <c r="D546" i="1" s="1"/>
  <c r="C547" i="1"/>
  <c r="D547" i="1" s="1"/>
  <c r="C548" i="1"/>
  <c r="D548" i="1" s="1"/>
  <c r="C549" i="1"/>
  <c r="D549" i="1" s="1"/>
  <c r="C550" i="1"/>
  <c r="D550" i="1" s="1"/>
  <c r="C551" i="1"/>
  <c r="D551" i="1" s="1"/>
  <c r="C552" i="1"/>
  <c r="D552" i="1" s="1"/>
  <c r="C553" i="1"/>
  <c r="D553" i="1" s="1"/>
  <c r="C554" i="1"/>
  <c r="D554" i="1" s="1"/>
  <c r="C555" i="1"/>
  <c r="D555" i="1" s="1"/>
  <c r="C556" i="1"/>
  <c r="D556" i="1" s="1"/>
  <c r="C557" i="1"/>
  <c r="D557" i="1" s="1"/>
  <c r="C558" i="1"/>
  <c r="D558" i="1" s="1"/>
  <c r="C559" i="1"/>
  <c r="D559" i="1" s="1"/>
  <c r="C560" i="1"/>
  <c r="D560" i="1" s="1"/>
  <c r="C561" i="1"/>
  <c r="D561" i="1" s="1"/>
  <c r="C562" i="1"/>
  <c r="D562" i="1" s="1"/>
  <c r="C563" i="1"/>
  <c r="D563" i="1" s="1"/>
  <c r="C564" i="1"/>
  <c r="D564" i="1" s="1"/>
  <c r="C565" i="1"/>
  <c r="D565" i="1" s="1"/>
  <c r="C566" i="1"/>
  <c r="D566" i="1" s="1"/>
  <c r="C567" i="1"/>
  <c r="D567" i="1" s="1"/>
  <c r="C568" i="1"/>
  <c r="D568" i="1" s="1"/>
  <c r="C569" i="1"/>
  <c r="D569" i="1" s="1"/>
  <c r="C570" i="1"/>
  <c r="D570" i="1" s="1"/>
  <c r="C571" i="1"/>
  <c r="D571" i="1" s="1"/>
  <c r="C572" i="1"/>
  <c r="D572" i="1" s="1"/>
  <c r="C573" i="1"/>
  <c r="D573" i="1" s="1"/>
  <c r="C574" i="1"/>
  <c r="D574" i="1" s="1"/>
  <c r="C575" i="1"/>
  <c r="D575" i="1" s="1"/>
  <c r="C576" i="1"/>
  <c r="D576" i="1" s="1"/>
  <c r="C577" i="1"/>
  <c r="D577" i="1" s="1"/>
  <c r="C578" i="1"/>
  <c r="D578" i="1" s="1"/>
  <c r="C579" i="1"/>
  <c r="D579" i="1" s="1"/>
  <c r="C580" i="1"/>
  <c r="D580" i="1" s="1"/>
  <c r="C581" i="1"/>
  <c r="D581" i="1" s="1"/>
  <c r="C582" i="1"/>
  <c r="D582" i="1" s="1"/>
  <c r="C583" i="1"/>
  <c r="D583" i="1" s="1"/>
  <c r="C584" i="1"/>
  <c r="D584" i="1" s="1"/>
  <c r="C585" i="1"/>
  <c r="D585" i="1" s="1"/>
  <c r="C586" i="1"/>
  <c r="D586" i="1" s="1"/>
  <c r="C587" i="1"/>
  <c r="D587" i="1" s="1"/>
  <c r="C588" i="1"/>
  <c r="D588" i="1" s="1"/>
  <c r="C589" i="1"/>
  <c r="D589" i="1" s="1"/>
  <c r="C590" i="1"/>
  <c r="D590" i="1" s="1"/>
  <c r="C591" i="1"/>
  <c r="D591" i="1" s="1"/>
  <c r="C592" i="1"/>
  <c r="D592" i="1" s="1"/>
  <c r="C593" i="1"/>
  <c r="D593" i="1" s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E564" i="1" l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D719" i="1"/>
  <c r="D697" i="1"/>
  <c r="D685" i="1"/>
  <c r="D696" i="1"/>
  <c r="D684" i="1"/>
  <c r="D695" i="1"/>
  <c r="D683" i="1"/>
  <c r="D694" i="1"/>
  <c r="D682" i="1"/>
  <c r="D672" i="1"/>
  <c r="D645" i="1"/>
  <c r="D630" i="1"/>
  <c r="D63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<sst xmlns="http://schemas.openxmlformats.org/spreadsheetml/2006/main" count="840" uniqueCount="737">
  <si>
    <t>EQUIPO</t>
  </si>
  <si>
    <t>ENLACE</t>
  </si>
  <si>
    <t>PAIS</t>
  </si>
  <si>
    <t>n-s-america/colombia/rionegro-aguilas</t>
  </si>
  <si>
    <t>n-s-america/colombia/alianza-fc</t>
  </si>
  <si>
    <t>n-s-america/colombia/america-de-cali</t>
  </si>
  <si>
    <t>n-s-america/colombia/atletico-nacional</t>
  </si>
  <si>
    <t>n-s-america/colombia/atletico-bucaramanga</t>
  </si>
  <si>
    <t>n-s-america/colombia/boyaca-chico-fc</t>
  </si>
  <si>
    <t>n-s-america/colombia/deportivo-cali</t>
  </si>
  <si>
    <t>n-s-america/colombia/fortaleza-ceif</t>
  </si>
  <si>
    <t>n-s-america/colombia/deportivo-independiente-medellin</t>
  </si>
  <si>
    <t>n-s-america/colombia/atletico-junior</t>
  </si>
  <si>
    <t>n-s-america/colombia/llaneros-fc</t>
  </si>
  <si>
    <t>n-s-america/colombia/millonarios-fc</t>
  </si>
  <si>
    <t>n-s-america/colombia/once-caldas</t>
  </si>
  <si>
    <t>n-s-america/colombia/deportivo-pasto</t>
  </si>
  <si>
    <t>n-s-america/colombia/deportivo-pereira</t>
  </si>
  <si>
    <t>n-s-america/colombia/independiente-santa-fe</t>
  </si>
  <si>
    <t>n-s-america/colombia/deportes-tolima</t>
  </si>
  <si>
    <t>uk-ireland/england/arsenal-fc</t>
  </si>
  <si>
    <t>uk-ireland/england/aston-villa-fc</t>
  </si>
  <si>
    <t>uk-ireland/england/afc-bournemouth</t>
  </si>
  <si>
    <t>uk-ireland/england/brentford-fc</t>
  </si>
  <si>
    <t>uk-ireland/england/brighton-hove-albion-fc</t>
  </si>
  <si>
    <t>uk-ireland/england/burnley-fc</t>
  </si>
  <si>
    <t>uk-ireland/england/chelsea-fc</t>
  </si>
  <si>
    <t>uk-ireland/england/crystal-palace-fc</t>
  </si>
  <si>
    <t>uk-ireland/england/everton-fc</t>
  </si>
  <si>
    <t>uk-ireland/england/fulham-fc</t>
  </si>
  <si>
    <t>uk-ireland/england/leeds-united-fc</t>
  </si>
  <si>
    <t>uk-ireland/england/liverpool-fc</t>
  </si>
  <si>
    <t>uk-ireland/england/manchester-city-fc</t>
  </si>
  <si>
    <t>uk-ireland/england/manchester-united-fc</t>
  </si>
  <si>
    <t>uk-ireland/england/newcastle-united-fc</t>
  </si>
  <si>
    <t>uk-ireland/england/nottingham-forest-fc</t>
  </si>
  <si>
    <t>uk-ireland/england/sunderland-afc</t>
  </si>
  <si>
    <t>uk-ireland/england/tottenham-hotspur-fc</t>
  </si>
  <si>
    <t>uk-ireland/england/west-ham-united-fc</t>
  </si>
  <si>
    <t>uk-ireland/england/wolverhampton-wanderers-fc</t>
  </si>
  <si>
    <t>europe/spain/deportivo-alaves</t>
  </si>
  <si>
    <t>europe/spain/athletic-bilbao</t>
  </si>
  <si>
    <t>europe/spain/atletico-madrid</t>
  </si>
  <si>
    <t>europe/spain/fc-barcelona</t>
  </si>
  <si>
    <t>europe/spain/real-betis-balompie</t>
  </si>
  <si>
    <t>europe/spain/celta-vigo</t>
  </si>
  <si>
    <t>europe/spain/rcd-espanyol</t>
  </si>
  <si>
    <t>europe/spain/getafe-cf</t>
  </si>
  <si>
    <t>europe/spain/girona-fc</t>
  </si>
  <si>
    <t>europe/spain/ud-las-palmas</t>
  </si>
  <si>
    <t>europe/spain/cd-leganes</t>
  </si>
  <si>
    <t>europe/spain/rcd-mallorca</t>
  </si>
  <si>
    <t>europe/spain/ca-osasuna</t>
  </si>
  <si>
    <t>europe/spain/rayo-vallecano</t>
  </si>
  <si>
    <t>europe/spain/real-madrid-cf</t>
  </si>
  <si>
    <t>europe/spain/real-sociedad</t>
  </si>
  <si>
    <t>europe/spain/sevilla-fc</t>
  </si>
  <si>
    <t>europe/spain/valencia-cf</t>
  </si>
  <si>
    <t>europe/spain/real-valladolid</t>
  </si>
  <si>
    <t>europe/spain/villarreal-cf</t>
  </si>
  <si>
    <t>europe/germany/fc-augsburg</t>
  </si>
  <si>
    <t>europe/germany/bayern-munich</t>
  </si>
  <si>
    <t>europe/germany/vfl-bochum</t>
  </si>
  <si>
    <t>europe/germany/werder-bremen</t>
  </si>
  <si>
    <t>europe/germany/borussia-dortmund</t>
  </si>
  <si>
    <t>europe/germany/eintracht-frankfurt</t>
  </si>
  <si>
    <t>europe/germany/sc-freiburg</t>
  </si>
  <si>
    <t>europe/germany/fc-heidenheim</t>
  </si>
  <si>
    <t>europe/germany/hoffenheim</t>
  </si>
  <si>
    <t>europe/germany/holstein-kiel</t>
  </si>
  <si>
    <t>europe/germany/bayer-leverkusen</t>
  </si>
  <si>
    <t>europe/germany/mainz-05</t>
  </si>
  <si>
    <t>europe/germany/borussia-monchengladbach</t>
  </si>
  <si>
    <t>europe/germany/rb-leipzig</t>
  </si>
  <si>
    <t>europe/germany/fc-st-pauli</t>
  </si>
  <si>
    <t>europe/germany/vfb-stuttgart</t>
  </si>
  <si>
    <t>europe/germany/union-berlin</t>
  </si>
  <si>
    <t>europe/germany/vfl-wolfsburg</t>
  </si>
  <si>
    <t>europe/austria/rheindorf-altach</t>
  </si>
  <si>
    <t>europe/austria/austria-vienna</t>
  </si>
  <si>
    <t>europe/austria/grazer-ak</t>
  </si>
  <si>
    <t>europe/austria/tsv-hartberg</t>
  </si>
  <si>
    <t>europe/austria/lask</t>
  </si>
  <si>
    <t>europe/austria/sv-ried</t>
  </si>
  <si>
    <t>europe/austria/red-bull-salzburg</t>
  </si>
  <si>
    <t>europe/austria/rapid-vienna</t>
  </si>
  <si>
    <t>europe/austria/sturm-graz</t>
  </si>
  <si>
    <t>europe/austria/wsg-swarovski-tirol</t>
  </si>
  <si>
    <t>europe/austria/wolfsberger-ac</t>
  </si>
  <si>
    <t>europe/belgium/rsc-anderlecht</t>
  </si>
  <si>
    <t>europe/belgium/royal-antwerp-fc</t>
  </si>
  <si>
    <t>europe/belgium/cercle-brugge-ksv</t>
  </si>
  <si>
    <t>europe/belgium/royal-charleroi-sc</t>
  </si>
  <si>
    <t>europe/belgium/club-brugge-kv</t>
  </si>
  <si>
    <t>europe/belgium/krc-genk</t>
  </si>
  <si>
    <t>europe/belgium/kaa-gent</t>
  </si>
  <si>
    <t>europe/belgium/kv-mechelen</t>
  </si>
  <si>
    <t>europe/belgium/oh-leuven</t>
  </si>
  <si>
    <t>europe/belgium/raal-la-louviere</t>
  </si>
  <si>
    <t>europe/belgium/standard-liege</t>
  </si>
  <si>
    <t>europe/belgium/sint-truidense-vv</t>
  </si>
  <si>
    <t>europe/belgium/ru-saint-gilloise</t>
  </si>
  <si>
    <t>n-s-america/brazil/clube-atletico-mineiro</t>
  </si>
  <si>
    <t>n-s-america/brazil/esporte-clube-bahia</t>
  </si>
  <si>
    <t>n-s-america/brazil/botafogo-de-futebol-e-regatas</t>
  </si>
  <si>
    <t>n-s-america/brazil/red-bull-bragantino</t>
  </si>
  <si>
    <t>n-s-america/brazil/sport-club-corinthians-paulista</t>
  </si>
  <si>
    <t>n-s-america/brazil/cruzeiro-esporte-clube</t>
  </si>
  <si>
    <t>n-s-america/brazil/clube-de-regatas-do-flamengo</t>
  </si>
  <si>
    <t>n-s-america/brazil/fluminense-fc</t>
  </si>
  <si>
    <t>n-s-america/brazil/gremio-football-porto-alagrense</t>
  </si>
  <si>
    <t>n-s-america/brazil/sport-club-internacional</t>
  </si>
  <si>
    <t>n-s-america/brazil/mirassol-fc</t>
  </si>
  <si>
    <t>n-s-america/brazil/sociedade-esportiva-palmeiras</t>
  </si>
  <si>
    <t>n-s-america/brazil/santos-fc</t>
  </si>
  <si>
    <t>n-s-america/brazil/sao-paulo-fc</t>
  </si>
  <si>
    <t>n-s-america/brazil/cr-vasco-da-gama</t>
  </si>
  <si>
    <t>n-s-america/brazil/esporte-clube-vitoria</t>
  </si>
  <si>
    <t>europe/bulgaria/arda-kardzhali</t>
  </si>
  <si>
    <t>europe/bulgaria/botev-plovdiv</t>
  </si>
  <si>
    <t>europe/bulgaria/botev-vratsa</t>
  </si>
  <si>
    <t>europe/bulgaria/cherno-more</t>
  </si>
  <si>
    <t>europe/bulgaria/fc-cska-1948-sofia</t>
  </si>
  <si>
    <t>europe/bulgaria/cska-sofia</t>
  </si>
  <si>
    <t>europe/bulgaria/levski-sofia</t>
  </si>
  <si>
    <t>europe/bulgaria/lokomotiv-plovdiv</t>
  </si>
  <si>
    <t>europe/bulgaria/fc-lokomotiv-1929-sofia</t>
  </si>
  <si>
    <t>europe/bulgaria/ludogorets</t>
  </si>
  <si>
    <t>europe/bulgaria/pfc-septemvri-sofia</t>
  </si>
  <si>
    <t>europe/bulgaria/slavia-sofia</t>
  </si>
  <si>
    <t>europe/bulgaria/fc-spartak-varna</t>
  </si>
  <si>
    <t>n-s-america/argentina/club-atletico-aldosivi</t>
  </si>
  <si>
    <t>n-s-america/argentina/argentinos-juniors</t>
  </si>
  <si>
    <t>n-s-america/argentina/club-atletico-tucuman</t>
  </si>
  <si>
    <t>n-s-america/argentina/club-atletico-banfield</t>
  </si>
  <si>
    <t>n-s-america/argentina/club-atletico-barracas-central</t>
  </si>
  <si>
    <t>n-s-america/argentina/club-atletico-belgrano</t>
  </si>
  <si>
    <t>n-s-america/argentina/club-atletico-boca-juniors</t>
  </si>
  <si>
    <t>n-s-america/argentina/club-atletico-central-cordoba</t>
  </si>
  <si>
    <t>n-s-america/argentina/defensa-y-justicia</t>
  </si>
  <si>
    <t>n-s-america/argentina/deportivo-riestra</t>
  </si>
  <si>
    <t>n-s-america/argentina/club-estudiantes-de-la-plata</t>
  </si>
  <si>
    <t>n-s-america/argentina/club-de-gimnasia-la-plata</t>
  </si>
  <si>
    <t>n-s-america/argentina/club-atletico-huracan</t>
  </si>
  <si>
    <t>n-s-america/argentina/club-sportivo-independiente-rivadavia</t>
  </si>
  <si>
    <t>n-s-america/argentina/club-atletico-independiente</t>
  </si>
  <si>
    <t>n-s-america/argentina/instituto-atletico-central-cordoba</t>
  </si>
  <si>
    <t>n-s-america/argentina/club-atletico-lanus</t>
  </si>
  <si>
    <t>n-s-america/argentina/club-atletico-newells-old-boys</t>
  </si>
  <si>
    <t>n-s-america/argentina/club-atletico-platense</t>
  </si>
  <si>
    <t>n-s-america/argentina/racing-club-de-avellaneda</t>
  </si>
  <si>
    <t>n-s-america/argentina/club-atletico-river-plate</t>
  </si>
  <si>
    <t>n-s-america/argentina/club-atletico-rosario-central</t>
  </si>
  <si>
    <t>n-s-america/argentina/san-lorenzo-de-almagro</t>
  </si>
  <si>
    <t>n-s-america/argentina/club-atletico-sarmiento-junin</t>
  </si>
  <si>
    <t>n-s-america/argentina/club-atletico-talleres</t>
  </si>
  <si>
    <t>n-s-america/argentina/club-atletico-tigre</t>
  </si>
  <si>
    <t>n-s-america/argentina/club-atletico-union-de-santa-fe</t>
  </si>
  <si>
    <t>n-s-america/argentina/club-atletico-velez-sarsfield</t>
  </si>
  <si>
    <t>europe/croatia/dinamo-zagreb</t>
  </si>
  <si>
    <t>europe/croatia/gorica</t>
  </si>
  <si>
    <t>europe/croatia/hajduk-split</t>
  </si>
  <si>
    <t>europe/croatia/istra-1961</t>
  </si>
  <si>
    <t>europe/croatia/lokomotiva-zagreb</t>
  </si>
  <si>
    <t>europe/croatia/osijek</t>
  </si>
  <si>
    <t>europe/croatia/rijeka</t>
  </si>
  <si>
    <t>europe/croatia/slaven-belupo</t>
  </si>
  <si>
    <t>europe/croatia/varazdin</t>
  </si>
  <si>
    <t>n-s-america/chile/audax-italiano</t>
  </si>
  <si>
    <t>n-s-america/chile/cd-cobresal</t>
  </si>
  <si>
    <t>n-s-america/chile/colo-colo</t>
  </si>
  <si>
    <t>n-s-america/chile/coquimbo-unido</t>
  </si>
  <si>
    <t>n-s-america/chile/everton-de-vina-del-mar</t>
  </si>
  <si>
    <t>n-s-america/chile/cd-huachipato</t>
  </si>
  <si>
    <t>n-s-america/chile/deportes-la-serena</t>
  </si>
  <si>
    <t>n-s-america/chile/deportes-limache</t>
  </si>
  <si>
    <t>n-s-america/chile/deportivo-nublense</t>
  </si>
  <si>
    <t>n-s-america/chile/o-higgins-fc</t>
  </si>
  <si>
    <t>n-s-america/chile/cd-palestino</t>
  </si>
  <si>
    <t>n-s-america/chile/union-la-calera</t>
  </si>
  <si>
    <t>n-s-america/chile/cd-universidad-catolica</t>
  </si>
  <si>
    <t>n-s-america/chile/club-universidad-de-chile</t>
  </si>
  <si>
    <t>europe/czech-republic/bohemians-1905</t>
  </si>
  <si>
    <t>europe/czech-republic/fc-hradec-kralove</t>
  </si>
  <si>
    <t>europe/czech-republic/fk-jablonec</t>
  </si>
  <si>
    <t>europe/czech-republic/fc-slovan-liberec</t>
  </si>
  <si>
    <t>europe/czech-republic/fk-mlada-boleslav</t>
  </si>
  <si>
    <t>europe/czech-republic/fc-banik-ostrava</t>
  </si>
  <si>
    <t>europe/czech-republic/fk-pardubice</t>
  </si>
  <si>
    <t>europe/czech-republic/fc-viktoria-plzen</t>
  </si>
  <si>
    <t>europe/czech-republic/sk-sigma-olomouc</t>
  </si>
  <si>
    <t>europe/czech-republic/slavia-prague</t>
  </si>
  <si>
    <t>europe/czech-republic/fc-slovacko</t>
  </si>
  <si>
    <t>europe/czech-republic/sparta-prague</t>
  </si>
  <si>
    <t>europe/czech-republic/fk-teplice</t>
  </si>
  <si>
    <t>europe/czech-republic/fc-fastav-zlin</t>
  </si>
  <si>
    <t>europe/denmark/aarhus</t>
  </si>
  <si>
    <t>europe/denmark/brondby</t>
  </si>
  <si>
    <t>europe/denmark/fc-copenhagen</t>
  </si>
  <si>
    <t>europe/denmark/fc-midtjylland</t>
  </si>
  <si>
    <t>europe/denmark/fc-nordsjaelland</t>
  </si>
  <si>
    <t>europe/denmark/odense-boldklub</t>
  </si>
  <si>
    <t>europe/denmark/randers-fc</t>
  </si>
  <si>
    <t>europe/denmark/silkeborg-if</t>
  </si>
  <si>
    <t>europe/denmark/sonderjyske</t>
  </si>
  <si>
    <t>europe/denmark/viborg-ff</t>
  </si>
  <si>
    <t>uk-ireland/england/birmingham-city-fc</t>
  </si>
  <si>
    <t>uk-ireland/england/blackburn-rovers-fc</t>
  </si>
  <si>
    <t>uk-ireland/england/bristol-city-fc</t>
  </si>
  <si>
    <t>uk-ireland/england/charlton-athletic-fc</t>
  </si>
  <si>
    <t>uk-ireland/england/coventry-city-fc</t>
  </si>
  <si>
    <t>uk-ireland/england/derby-county-fc</t>
  </si>
  <si>
    <t>uk-ireland/england/hull-city-fc</t>
  </si>
  <si>
    <t>uk-ireland/england/ipswich-town-fc</t>
  </si>
  <si>
    <t>uk-ireland/england/middlesbrough-fc</t>
  </si>
  <si>
    <t>uk-ireland/england/millwall-fc</t>
  </si>
  <si>
    <t>uk-ireland/england/norwich-city-fc</t>
  </si>
  <si>
    <t>uk-ireland/england/portsmouth-fc</t>
  </si>
  <si>
    <t>uk-ireland/england/preston-north-end-fc</t>
  </si>
  <si>
    <t>uk-ireland/england/queens-park-rangers-fc</t>
  </si>
  <si>
    <t>uk-ireland/england/sheffield-united-fc</t>
  </si>
  <si>
    <t>uk-ireland/england/southampton-fc</t>
  </si>
  <si>
    <t>uk-ireland/england/stoke-city-fc</t>
  </si>
  <si>
    <t>uk-ireland/england/swansea-city-afc</t>
  </si>
  <si>
    <t>uk-ireland/england/watford-fc</t>
  </si>
  <si>
    <t>uk-ireland/england/west-bromwich-albion-fc</t>
  </si>
  <si>
    <t>uk-ireland/england/wrexham-afc</t>
  </si>
  <si>
    <t>europe/france/angers-sco</t>
  </si>
  <si>
    <t>europe/france/aj-auxerre</t>
  </si>
  <si>
    <t>europe/france/stade-brestois-29</t>
  </si>
  <si>
    <t>europe/france/le-havre-ac</t>
  </si>
  <si>
    <t>europe/france/rc-lens</t>
  </si>
  <si>
    <t>europe/france/lille-osc</t>
  </si>
  <si>
    <t>europe/france/olympique-lyonnais</t>
  </si>
  <si>
    <t>europe/france/olympique-de-marseille</t>
  </si>
  <si>
    <t>europe/france/as-monaco-fc</t>
  </si>
  <si>
    <t>europe/france/ogc-nice</t>
  </si>
  <si>
    <t>europe/france/paris-saint-germain-fc</t>
  </si>
  <si>
    <t>europe/france/stade-rennais-fc</t>
  </si>
  <si>
    <t>europe/france/rc-strasbourg-alsace</t>
  </si>
  <si>
    <t>europe/france/toulouse-fc</t>
  </si>
  <si>
    <t>europe/germany/arminia-bielefeld</t>
  </si>
  <si>
    <t>europe/germany/eintracht-braunschweig</t>
  </si>
  <si>
    <t>europe/germany/darmstadt-98</t>
  </si>
  <si>
    <t>europe/germany/dynamo-dresden</t>
  </si>
  <si>
    <t>europe/germany/greuther-furth</t>
  </si>
  <si>
    <t>europe/germany/hannover-96</t>
  </si>
  <si>
    <t>europe/germany/hertha-berlin</t>
  </si>
  <si>
    <t>europe/germany/fc-kaiserslautern</t>
  </si>
  <si>
    <t>europe/germany/karlsruher-sc</t>
  </si>
  <si>
    <t>europe/germany/fc-magdeburg</t>
  </si>
  <si>
    <t>europe/germany/fc-nurnberg</t>
  </si>
  <si>
    <t>europe/italy/ac-milan</t>
  </si>
  <si>
    <t>europe/italy/as-roma</t>
  </si>
  <si>
    <t>europe/italy/atalanta-bc</t>
  </si>
  <si>
    <t>europe/italy/bologna-fc-1909</t>
  </si>
  <si>
    <t>europe/italy/cagliari-calcio</t>
  </si>
  <si>
    <t>europe/italy/como-1907</t>
  </si>
  <si>
    <t>europe/italy/acf-fiorentina</t>
  </si>
  <si>
    <t>europe/italy/genoa-cfc</t>
  </si>
  <si>
    <t>europe/italy/inter-milan</t>
  </si>
  <si>
    <t>europe/italy/juventus-fc</t>
  </si>
  <si>
    <t>europe/italy/ss-lazio</t>
  </si>
  <si>
    <t>europe/italy/us-lecce</t>
  </si>
  <si>
    <t>europe/italy/ssc-napoli</t>
  </si>
  <si>
    <t>europe/italy/parma-calcio-1913</t>
  </si>
  <si>
    <t>europe/italy/torino-fc</t>
  </si>
  <si>
    <t>europe/italy/udinese-calcio</t>
  </si>
  <si>
    <t>n-s-america/mexico/atletico-san-luis</t>
  </si>
  <si>
    <t>n-s-america/mexico/atlas-fc</t>
  </si>
  <si>
    <t>n-s-america/mexico/club-america</t>
  </si>
  <si>
    <t>n-s-america/mexico/cruz-azul</t>
  </si>
  <si>
    <t>n-s-america/mexico/cd-guadalajara</t>
  </si>
  <si>
    <t>n-s-america/mexico/fc-juarez</t>
  </si>
  <si>
    <t>n-s-america/mexico/club-leon</t>
  </si>
  <si>
    <t>n-s-america/mexico/cf-monterrey</t>
  </si>
  <si>
    <t>n-s-america/mexico/club-necaxa</t>
  </si>
  <si>
    <t>n-s-america/mexico/cf-pachuca</t>
  </si>
  <si>
    <t>n-s-america/mexico/club-puebla</t>
  </si>
  <si>
    <t>n-s-america/mexico/queretaro-fc</t>
  </si>
  <si>
    <t>n-s-america/mexico/santos-laguna</t>
  </si>
  <si>
    <t>n-s-america/mexico/tigres-uanl</t>
  </si>
  <si>
    <t>n-s-america/mexico/club-tijuana</t>
  </si>
  <si>
    <t>n-s-america/mexico/deportivo-toluca-fc</t>
  </si>
  <si>
    <t>n-s-america/mexico/unam</t>
  </si>
  <si>
    <t>europe/netherlands/afc-ajax</t>
  </si>
  <si>
    <t>europe/netherlands/az-alkmaar</t>
  </si>
  <si>
    <t>europe/netherlands/sbv-excelsior</t>
  </si>
  <si>
    <t>europe/netherlands/feyenoord-rotterdam</t>
  </si>
  <si>
    <t>europe/netherlands/go-ahead-eagles</t>
  </si>
  <si>
    <t>europe/netherlands/fc-groningen</t>
  </si>
  <si>
    <t>europe/netherlands/sc-heerenveen</t>
  </si>
  <si>
    <t>europe/netherlands/nec-nijmegen</t>
  </si>
  <si>
    <t>europe/netherlands/psv-eindhoven</t>
  </si>
  <si>
    <t>europe/netherlands/fortuna-sittard</t>
  </si>
  <si>
    <t>europe/netherlands/sparta-rotterdam</t>
  </si>
  <si>
    <t>europe/netherlands/sc-telstar</t>
  </si>
  <si>
    <t>europe/netherlands/fc-twente</t>
  </si>
  <si>
    <t>europe/netherlands/fc-utrecht</t>
  </si>
  <si>
    <t>europe/netherlands/pec-zwolle</t>
  </si>
  <si>
    <t>europe/norway/fk-bodo-glimt</t>
  </si>
  <si>
    <t>europe/norway/sk-brann</t>
  </si>
  <si>
    <t>europe/norway/fredrikstad-fk</t>
  </si>
  <si>
    <t>europe/norway/ham-kam</t>
  </si>
  <si>
    <t>europe/norway/kfum-kameratene-oslo</t>
  </si>
  <si>
    <t>europe/norway/kristiansund-bk</t>
  </si>
  <si>
    <t>europe/norway/molde-fk</t>
  </si>
  <si>
    <t>europe/norway/rosenborg-bk</t>
  </si>
  <si>
    <t>europe/norway/sandefjord-fotball</t>
  </si>
  <si>
    <t>europe/norway/sarpsborg-08-ff</t>
  </si>
  <si>
    <t>europe/norway/tromso-il</t>
  </si>
  <si>
    <t>europe/norway/valerenga-fotball</t>
  </si>
  <si>
    <t>europe/norway/viking-fk</t>
  </si>
  <si>
    <t>n-s-america/peru/alianza-lima</t>
  </si>
  <si>
    <t>n-s-america/peru/asociacion-deportiva-tarma</t>
  </si>
  <si>
    <t>n-s-america/peru/alianza-atletico</t>
  </si>
  <si>
    <t>n-s-america/peru/universidad-tecnica-de-cajamarca</t>
  </si>
  <si>
    <t>n-s-america/peru/club-sportivo-cienciano</t>
  </si>
  <si>
    <t>n-s-america/peru/comerciantes-unidos</t>
  </si>
  <si>
    <t>n-s-america/peru/cusco-fc</t>
  </si>
  <si>
    <t>n-s-america/peru/deportivo-garcilaso</t>
  </si>
  <si>
    <t>n-s-america/peru/atletico-grau</t>
  </si>
  <si>
    <t>n-s-america/peru/sport-huancayo</t>
  </si>
  <si>
    <t>n-s-america/peru/adc-juan-pablo-ii-college</t>
  </si>
  <si>
    <t>n-s-america/peru/los-chankas-cyc</t>
  </si>
  <si>
    <t>n-s-america/peru/fbc-melgar</t>
  </si>
  <si>
    <t>n-s-america/peru/sport-boys</t>
  </si>
  <si>
    <t>n-s-america/peru/sporting-cristal</t>
  </si>
  <si>
    <t>n-s-america/peru/club-universitario-de-deportes</t>
  </si>
  <si>
    <t>europe/poland/cracovia</t>
  </si>
  <si>
    <t>europe/poland/gornik-zabrze</t>
  </si>
  <si>
    <t>europe/poland/jagiellona-bialystok</t>
  </si>
  <si>
    <t>europe/poland/gks-katowice</t>
  </si>
  <si>
    <t>europe/poland/korona-kielce</t>
  </si>
  <si>
    <t>europe/poland/lech-poznan</t>
  </si>
  <si>
    <t>europe/poland/legia-warsaw</t>
  </si>
  <si>
    <t>europe/poland/motor-lublin</t>
  </si>
  <si>
    <t>europe/poland/piast-gliwice</t>
  </si>
  <si>
    <t>europe/poland/mks-pogon-szczecin</t>
  </si>
  <si>
    <t>europe/poland/radomiak-radom</t>
  </si>
  <si>
    <t>europe/poland/rakow-czestochowa</t>
  </si>
  <si>
    <t>europe/poland/rts-widzew-lodz</t>
  </si>
  <si>
    <t>europe/poland/wisla-plock</t>
  </si>
  <si>
    <t>europe/poland/zaglebie-lubin</t>
  </si>
  <si>
    <t>europe/portugal/fc-alverca</t>
  </si>
  <si>
    <t>europe/portugal/fc-arouca</t>
  </si>
  <si>
    <t>europe/portugal/benfica</t>
  </si>
  <si>
    <t>europe/portugal/braga</t>
  </si>
  <si>
    <t>europe/portugal/casa-pia-ac</t>
  </si>
  <si>
    <t>europe/portugal/gd-estoril-praia</t>
  </si>
  <si>
    <t>europe/portugal/cf-estrela-da-amadora</t>
  </si>
  <si>
    <t>europe/portugal/famalicao</t>
  </si>
  <si>
    <t>europe/portugal/fc-porto</t>
  </si>
  <si>
    <t>europe/portugal/gil-vicente</t>
  </si>
  <si>
    <t>europe/portugal/vitoria-de-guimaraes</t>
  </si>
  <si>
    <t>europe/portugal/moreirense-fc</t>
  </si>
  <si>
    <t>europe/portugal/cd-nacional</t>
  </si>
  <si>
    <t>europe/portugal/rio-ave-fc</t>
  </si>
  <si>
    <t>europe/portugal/santa-clara</t>
  </si>
  <si>
    <t>europe/portugal/sporting-cp</t>
  </si>
  <si>
    <t>europe/romania/fc-botosani</t>
  </si>
  <si>
    <t>europe/romania/cfr-cluj</t>
  </si>
  <si>
    <t>europe/romania/fk-miercurea-ciuc</t>
  </si>
  <si>
    <t>europe/romania/fc-dinamo-bucuresti</t>
  </si>
  <si>
    <t>europe/romania/fc-farul-constanta</t>
  </si>
  <si>
    <t>europe/romania/fc-arges-pitesti</t>
  </si>
  <si>
    <t>europe/romania/fc-rapid-bucuresti</t>
  </si>
  <si>
    <t>europe/romania/fcsb</t>
  </si>
  <si>
    <t>europe/romania/asc-otelul-galati</t>
  </si>
  <si>
    <t>europe/romania/fc-petrolul-ploiesti</t>
  </si>
  <si>
    <t>europe/romania/fc-universitatea-cluj</t>
  </si>
  <si>
    <t>europe/romania/cs-universitatea-craiova</t>
  </si>
  <si>
    <t>europe/romania/fc-uta-arad</t>
  </si>
  <si>
    <t>rest-of-the-world/saudi-arabia/al-fateh-sc</t>
  </si>
  <si>
    <t>rest-of-the-world/saudi-arabia/al-fayha-fc</t>
  </si>
  <si>
    <t>rest-of-the-world/saudi-arabia/khaleej-fc</t>
  </si>
  <si>
    <t>rest-of-the-world/saudi-arabia/al-kholood-club</t>
  </si>
  <si>
    <t>rest-of-the-world/saudi-arabia/al-qadsiah-fc</t>
  </si>
  <si>
    <t>rest-of-the-world/saudi-arabia/al-riyadh-sc</t>
  </si>
  <si>
    <t>rest-of-the-world/saudi-arabia/al-ahli-saudi-fc</t>
  </si>
  <si>
    <t>rest-of-the-world/saudi-arabia/al-ettifaq-fc</t>
  </si>
  <si>
    <t>rest-of-the-world/saudi-arabia/al-hilal-fc</t>
  </si>
  <si>
    <t>rest-of-the-world/saudi-arabia/al-ittihad-fc</t>
  </si>
  <si>
    <t>rest-of-the-world/saudi-arabia/al-nassr-fc</t>
  </si>
  <si>
    <t>rest-of-the-world/saudi-arabia/al-shabab-fc</t>
  </si>
  <si>
    <t>rest-of-the-world/saudi-arabia/al-taawoun-fc</t>
  </si>
  <si>
    <t>uk-ireland/scotland/aberdeen-fc</t>
  </si>
  <si>
    <t>uk-ireland/scotland/celtic-fc</t>
  </si>
  <si>
    <t>uk-ireland/scotland/dundee-fc</t>
  </si>
  <si>
    <t>uk-ireland/scotland/dundee-united-fc</t>
  </si>
  <si>
    <t>uk-ireland/scotland/falkirk-fc</t>
  </si>
  <si>
    <t>uk-ireland/scotland/heart-of-midlothian-fc</t>
  </si>
  <si>
    <t>uk-ireland/scotland/hibernian-fc</t>
  </si>
  <si>
    <t>uk-ireland/scotland/kilmarnock-fc</t>
  </si>
  <si>
    <t>uk-ireland/scotland/motherwell-fc</t>
  </si>
  <si>
    <t>uk-ireland/scotland/rangers-fc</t>
  </si>
  <si>
    <t>uk-ireland/scotland/st-mirren-fc</t>
  </si>
  <si>
    <t>europe/spain/albacete-balompie</t>
  </si>
  <si>
    <t>europe/spain/ud-almeria</t>
  </si>
  <si>
    <t>europe/spain/burgos-cf</t>
  </si>
  <si>
    <t>europe/spain/cadiz-cf</t>
  </si>
  <si>
    <t>europe/spain/cd-castellon</t>
  </si>
  <si>
    <t>europe/spain/cordoba-cf</t>
  </si>
  <si>
    <t>europe/spain/sd-eibar</t>
  </si>
  <si>
    <t>europe/spain/sporting-de-gijon</t>
  </si>
  <si>
    <t>europe/spain/granada-cf</t>
  </si>
  <si>
    <t>europe/spain/malaga-cf</t>
  </si>
  <si>
    <t>europe/spain/racing-de-santander</t>
  </si>
  <si>
    <t>europe/sweden/aik</t>
  </si>
  <si>
    <t>europe/sweden/if-brommapojkarna</t>
  </si>
  <si>
    <t>europe/sweden/degerfors-if</t>
  </si>
  <si>
    <t>europe/sweden/djurgardens-if</t>
  </si>
  <si>
    <t>europe/sweden/if-elfsborg</t>
  </si>
  <si>
    <t>europe/sweden/gais</t>
  </si>
  <si>
    <t>europe/sweden/ifk-goteborg</t>
  </si>
  <si>
    <t>europe/sweden/bk-hacken</t>
  </si>
  <si>
    <t>europe/sweden/halmstads-bk</t>
  </si>
  <si>
    <t>europe/sweden/hammarby-if</t>
  </si>
  <si>
    <t>europe/sweden/malmo-ff</t>
  </si>
  <si>
    <t>europe/sweden/mjallby-aif</t>
  </si>
  <si>
    <t>europe/sweden/ik-sirius</t>
  </si>
  <si>
    <t>europe/switzerland/fc-basel</t>
  </si>
  <si>
    <t>europe/switzerland/grasshopper-club-zurich</t>
  </si>
  <si>
    <t>europe/switzerland/fc-lausanne-sport</t>
  </si>
  <si>
    <t>europe/switzerland/fc-lugano</t>
  </si>
  <si>
    <t>europe/switzerland/fc-luzern</t>
  </si>
  <si>
    <t>europe/switzerland/servette-fc</t>
  </si>
  <si>
    <t>europe/switzerland/fc-sion</t>
  </si>
  <si>
    <t>europe/switzerland/fc-st-gallen</t>
  </si>
  <si>
    <t>europe/switzerland/fc-thun</t>
  </si>
  <si>
    <t>europe/switzerland/bsc-young-boys</t>
  </si>
  <si>
    <t>europe/switzerland/fc-zurich</t>
  </si>
  <si>
    <t>n-s-america/usa/atlanta-united-fc</t>
  </si>
  <si>
    <t>n-s-america/usa/austin-fc</t>
  </si>
  <si>
    <t>n-s-america/usa/club-de-foot-montreal</t>
  </si>
  <si>
    <t>n-s-america/usa/charlotte-fc</t>
  </si>
  <si>
    <t>n-s-america/usa/chicago-fire-fc</t>
  </si>
  <si>
    <t>n-s-america/usa/fc-cincinnati</t>
  </si>
  <si>
    <t>n-s-america/usa/colorado-rapids</t>
  </si>
  <si>
    <t>n-s-america/usa/columbus-crew-sc</t>
  </si>
  <si>
    <t>n-s-america/usa/dc-united</t>
  </si>
  <si>
    <t>n-s-america/usa/fc-dallas</t>
  </si>
  <si>
    <t>n-s-america/usa/houston-dynamo</t>
  </si>
  <si>
    <t>n-s-america/usa/inter-miami-cf</t>
  </si>
  <si>
    <t>n-s-america/usa/los-angeles-fc</t>
  </si>
  <si>
    <t>n-s-america/usa/los-angeles-galaxy</t>
  </si>
  <si>
    <t>n-s-america/usa/minnesota-united-fc</t>
  </si>
  <si>
    <t>n-s-america/usa/nashville-sc</t>
  </si>
  <si>
    <t>n-s-america/usa/new-england-revolution</t>
  </si>
  <si>
    <t>n-s-america/usa/new-york-city-fc</t>
  </si>
  <si>
    <t>n-s-america/usa/new-york-red-bulls</t>
  </si>
  <si>
    <t>n-s-america/usa/orlando-city-sc</t>
  </si>
  <si>
    <t>n-s-america/usa/philadelphia-union</t>
  </si>
  <si>
    <t>n-s-america/usa/portland-timbers</t>
  </si>
  <si>
    <t>n-s-america/usa/real-salt-lake</t>
  </si>
  <si>
    <t>n-s-america/usa/san-diego-fc</t>
  </si>
  <si>
    <t>n-s-america/usa/san-jose-earthquakes</t>
  </si>
  <si>
    <t>n-s-america/usa/seattle-sounders-fc</t>
  </si>
  <si>
    <t>n-s-america/usa/sporting-kansas-city</t>
  </si>
  <si>
    <t>n-s-america/usa/st-louis-city-sc</t>
  </si>
  <si>
    <t>n-s-america/usa/toronto-fc</t>
  </si>
  <si>
    <t>n-s-america/usa/vancouver-whitecaps-fc</t>
  </si>
  <si>
    <t>europe/spain/fc-andorra</t>
  </si>
  <si>
    <t>europe/spain/ad-ceuta-fc</t>
  </si>
  <si>
    <t>europe/spain/real-sociedad-b</t>
  </si>
  <si>
    <t>europe/germany/fc-koln</t>
  </si>
  <si>
    <t>europe/germany/hamburger-sv</t>
  </si>
  <si>
    <t>europe/italy/us-sassuolo-calcio</t>
  </si>
  <si>
    <t>europe/france/fc-lorient</t>
  </si>
  <si>
    <t>europe/france/paris-fc</t>
  </si>
  <si>
    <t>europe/spain/elche-cf</t>
  </si>
  <si>
    <t>europe/spain/levante-ud</t>
  </si>
  <si>
    <t>europe/spain/real-oviedo</t>
  </si>
  <si>
    <t>europe/greece/aek-athens-fc</t>
  </si>
  <si>
    <t>europe/greece/aris-thessaloniki-fc</t>
  </si>
  <si>
    <t>europe/greece/asteras-tripolis-fc</t>
  </si>
  <si>
    <t>europe/greece/atromitos-fc</t>
  </si>
  <si>
    <t>europe/greece/ae-kifisia-fc</t>
  </si>
  <si>
    <t>europe/greece/levadiakos-fc</t>
  </si>
  <si>
    <t>europe/greece/ofi-crete-fc</t>
  </si>
  <si>
    <t>europe/greece/olympiacos-fc</t>
  </si>
  <si>
    <t>europe/greece/panathinaikos-fc</t>
  </si>
  <si>
    <t>europe/greece/panetolikos-fc</t>
  </si>
  <si>
    <t>europe/greece/paok-fc</t>
  </si>
  <si>
    <t>europe/greece/volos-fc</t>
  </si>
  <si>
    <t>n-s-america/ecuador/sd-aucas</t>
  </si>
  <si>
    <t>n-s-america/ecuador/barcelona-sc</t>
  </si>
  <si>
    <t>n-s-america/ecuador/delfin-sc</t>
  </si>
  <si>
    <t>n-s-america/ecuador/cd-cuenca</t>
  </si>
  <si>
    <t>n-s-america/ecuador/cs-emelec</t>
  </si>
  <si>
    <t>n-s-america/ecuador/csd-independiente-del-valle</t>
  </si>
  <si>
    <t>n-s-america/ecuador/ldu-quito</t>
  </si>
  <si>
    <t>n-s-america/ecuador/libertad-fc</t>
  </si>
  <si>
    <t>n-s-america/ecuador/csd-macara</t>
  </si>
  <si>
    <t>n-s-america/ecuador/manta-fc</t>
  </si>
  <si>
    <t>n-s-america/ecuador/mushuc-runa-sc</t>
  </si>
  <si>
    <t>n-s-america/ecuador/orense-sc</t>
  </si>
  <si>
    <t>n-s-america/ecuador/tecnico-universitario</t>
  </si>
  <si>
    <t>n-s-america/ecuador/cd-universidad-catolica</t>
  </si>
  <si>
    <t>rest-of-the-world/saudi-arabia/al-hazem-fc</t>
  </si>
  <si>
    <t>rest-of-the-world/saudi-arabia/neom-sc</t>
  </si>
  <si>
    <t>rest-of-the-world/australia/adelaide-united-fc</t>
  </si>
  <si>
    <t>rest-of-the-world/australia/auckland-fc</t>
  </si>
  <si>
    <t>rest-of-the-world/australia/brisbane-roar-fc</t>
  </si>
  <si>
    <t>rest-of-the-world/australia/central-coast-mariners-fc</t>
  </si>
  <si>
    <t>rest-of-the-world/australia/macarthur-fc</t>
  </si>
  <si>
    <t>rest-of-the-world/australia/melbourne-city-fc</t>
  </si>
  <si>
    <t>rest-of-the-world/australia/melbourne-victory-fc</t>
  </si>
  <si>
    <t>rest-of-the-world/australia/newcastle-jets-fc</t>
  </si>
  <si>
    <t>rest-of-the-world/australia/perth-glory-fc</t>
  </si>
  <si>
    <t>rest-of-the-world/australia/sydney-fc</t>
  </si>
  <si>
    <t>rest-of-the-world/australia/wellington-phoenix-fc</t>
  </si>
  <si>
    <t>rest-of-the-world/australia/western-sydney-wanderers-fc</t>
  </si>
  <si>
    <t>europe/finland/if-gnistan</t>
  </si>
  <si>
    <t>europe/finland/hjk-helsinki</t>
  </si>
  <si>
    <t>europe/finland/fc-ilves</t>
  </si>
  <si>
    <t>europe/finland/fc-inter-turku</t>
  </si>
  <si>
    <t>europe/finland/ff-jaro</t>
  </si>
  <si>
    <t>europe/finland/kuopion-palloseura</t>
  </si>
  <si>
    <t>europe/finland/ifk-mariehamn</t>
  </si>
  <si>
    <t>europe/finland/ac-oulu</t>
  </si>
  <si>
    <t>europe/finland/sjk</t>
  </si>
  <si>
    <t>europe/finland/vaasan-palloseura</t>
  </si>
  <si>
    <t>ANALIZAR</t>
  </si>
  <si>
    <t>act</t>
  </si>
  <si>
    <t>n-s-america/colombia/cucuta-deportivo-fc</t>
  </si>
  <si>
    <t>n-s-america/colombia/internacional-de-bogota</t>
  </si>
  <si>
    <t>n-s-america/colombia/jaguares-de-cordoba</t>
  </si>
  <si>
    <t>n-s-america/brazil/club-athletico-paranaense</t>
  </si>
  <si>
    <t>n-s-america/brazil/associacao-chapecoense-de-futebol</t>
  </si>
  <si>
    <t>n-s-america/brazil/coritiba-football-club</t>
  </si>
  <si>
    <t>n-s-america/brazil/clube-do-remo</t>
  </si>
  <si>
    <t>n-s-america/chile/deportes-concepcion</t>
  </si>
  <si>
    <t>n-s-america/chile/cd-universidad-de-concepcion</t>
  </si>
  <si>
    <t>n-s-america/peru/fc-cajamarca</t>
  </si>
  <si>
    <t>n-s-america/peru/club-deportivo-moquegua</t>
  </si>
  <si>
    <t>n-s-america/ecuador/guayaquil-city-fc</t>
  </si>
  <si>
    <t>n-s-america/ecuador/leones-fc</t>
  </si>
  <si>
    <t>n-s-america/argentina/estudiantes-de-rio-cuarto</t>
  </si>
  <si>
    <t>n-s-america/argentina/club-gimnasia-de-mendoza</t>
  </si>
  <si>
    <t>europe/sweden/kalmar-ff</t>
  </si>
  <si>
    <t>europe/sweden/orgryte-is</t>
  </si>
  <si>
    <t>europe/sweden/vasteras-sk</t>
  </si>
  <si>
    <t>uk-ireland/ireland/bohemians-fc</t>
  </si>
  <si>
    <t>uk-ireland/ireland/derry-city-fc</t>
  </si>
  <si>
    <t>uk-ireland/ireland/drogheda-united-fc</t>
  </si>
  <si>
    <t>uk-ireland/ireland/dundalk-fc</t>
  </si>
  <si>
    <t>uk-ireland/ireland/galway-united-fc</t>
  </si>
  <si>
    <t>uk-ireland/ireland/shamrock-rovers-fc</t>
  </si>
  <si>
    <t>uk-ireland/ireland/shelbourne-fc</t>
  </si>
  <si>
    <t>uk-ireland/ireland/sligo-rovers-fc</t>
  </si>
  <si>
    <t>uk-ireland/ireland/st-patricks-athletic-fc</t>
  </si>
  <si>
    <t>uk-ireland/ireland/waterford-fc</t>
  </si>
  <si>
    <t>rest-of-the-world/egypt/al-ahly-sc</t>
  </si>
  <si>
    <t>rest-of-the-world/egypt/al-ittihad-ac</t>
  </si>
  <si>
    <t>rest-of-the-world/egypt/al-masry-sc</t>
  </si>
  <si>
    <t>rest-of-the-world/egypt/arab-contractors-sc</t>
  </si>
  <si>
    <t>rest-of-the-world/egypt/ceramica-cleopatra-fc</t>
  </si>
  <si>
    <t>rest-of-the-world/egypt/talaea-el-gaish-sc</t>
  </si>
  <si>
    <t>rest-of-the-world/egypt/el-gouna-fc</t>
  </si>
  <si>
    <t>rest-of-the-world/egypt/enppi-sc</t>
  </si>
  <si>
    <t>rest-of-the-world/egypt/ghazi-el-mahalla-sc</t>
  </si>
  <si>
    <t>rest-of-the-world/egypt/modern-sport-fc</t>
  </si>
  <si>
    <t>rest-of-the-world/egypt/national-bank-of-egypt-sc</t>
  </si>
  <si>
    <t>rest-of-the-world/egypt/petrojet-sc</t>
  </si>
  <si>
    <t>rest-of-the-world/egypt/pyramids-fc</t>
  </si>
  <si>
    <t>rest-of-the-world/egypt/smouha-sc</t>
  </si>
  <si>
    <t>rest-of-the-world/egypt/wadi-degla-sc</t>
  </si>
  <si>
    <t>rest-of-the-world/egypt/zamalek-sc</t>
  </si>
  <si>
    <t>rest-of-the-world/egypt/zed-fc</t>
  </si>
  <si>
    <t>europe/finland/fc-lahti</t>
  </si>
  <si>
    <t>europe/finland/tps-turku</t>
  </si>
  <si>
    <t>DIVISION</t>
  </si>
  <si>
    <t>england_b</t>
  </si>
  <si>
    <t>spain_b</t>
  </si>
  <si>
    <t>europe/austria/sc-austria-lustenau</t>
  </si>
  <si>
    <t>europe/bulgaria/fc-dunav-ruse</t>
  </si>
  <si>
    <t>europe/croatia/nk-rudes</t>
  </si>
  <si>
    <t>europe/czech-republic/sk-artis-brno</t>
  </si>
  <si>
    <t>europe/czech-republic/fc-zbrojovka-brno</t>
  </si>
  <si>
    <t>europe/denmark/ac-horsens</t>
  </si>
  <si>
    <t>europe/denmark/lyngby-bk</t>
  </si>
  <si>
    <t>europe/poland/slask-wroclaw</t>
  </si>
  <si>
    <t>europe/poland/ks-wieczysta-krokow</t>
  </si>
  <si>
    <t>europe/poland/wisla-krakow</t>
  </si>
  <si>
    <t>europe/romania/corvinul-hunedoara</t>
  </si>
  <si>
    <t>europe/romania/fc-voluntari</t>
  </si>
  <si>
    <t>europe/romania/sepsi-osk-sftantu-gheorghe</t>
  </si>
  <si>
    <t>uk-ireland/scotland/st-johnstone-fc</t>
  </si>
  <si>
    <t>europe/switzerland/fc-vaduz</t>
  </si>
  <si>
    <t>europe/germany/fc-energie-cottbus</t>
  </si>
  <si>
    <t>europe/germany/vfl-osnabruck</t>
  </si>
  <si>
    <t>europe/netherlands/sc-cambuur</t>
  </si>
  <si>
    <t>europe/netherlands/ado-den-haag</t>
  </si>
  <si>
    <t>europe/netherlands/willem-ii</t>
  </si>
  <si>
    <t>rest-of-the-world/saudi-arabia/abha-club</t>
  </si>
  <si>
    <t>rest-of-the-world/saudi-arabia/diriyah-club</t>
  </si>
  <si>
    <t>rest-of-the-world/saudi-arabia/al-faisaly-fc</t>
  </si>
  <si>
    <t>europe/belgium/sk-beveren</t>
  </si>
  <si>
    <t>europe/belgium/kv-kortrijk</t>
  </si>
  <si>
    <t>europe/belgium/lommel-sk</t>
  </si>
  <si>
    <t>uk-ireland/england/bolton-wanderers-fc</t>
  </si>
  <si>
    <t>uk-ireland/england/cardiff-city-fc</t>
  </si>
  <si>
    <t>uk-ireland/england/lincoln-city-fc</t>
  </si>
  <si>
    <t>europe/norway/aalesunds-fk</t>
  </si>
  <si>
    <t>europe/norway/lillestrom-sk</t>
  </si>
  <si>
    <t>europe/norway/ik-start</t>
  </si>
  <si>
    <t>europe/portugal/academico-de-viseu-fc</t>
  </si>
  <si>
    <t>europe/portugal/maritimo</t>
  </si>
  <si>
    <t>europe/spain/deportivo-de-a-coruna</t>
  </si>
  <si>
    <t>europe/spain/celta-de-vigo-b</t>
  </si>
  <si>
    <t>europe/spain/cd-eldense</t>
  </si>
  <si>
    <t>europe/spain/ce-sabadell-fc</t>
  </si>
  <si>
    <t>europe/spain/cd-tenerife</t>
  </si>
  <si>
    <t>europe/france/le-mans-fc</t>
  </si>
  <si>
    <t>europe/france/troyes-ac</t>
  </si>
  <si>
    <t>europe/germany/sv-elversberg</t>
  </si>
  <si>
    <t>europe/germany/sc-paderborn</t>
  </si>
  <si>
    <t>europe/germany/schalke-04</t>
  </si>
  <si>
    <t>europe/greece/iraklis-fc</t>
  </si>
  <si>
    <t>europe/greece/kalamata-fc</t>
  </si>
  <si>
    <t>europe/italy/frosinone-calcio</t>
  </si>
  <si>
    <t>europe/italy/ac-monza</t>
  </si>
  <si>
    <t>europe/italy/venezia-fc</t>
  </si>
  <si>
    <t>europe/cyprus/aek-larnaca-fc</t>
  </si>
  <si>
    <t>europe/cyprus/ael-limassol</t>
  </si>
  <si>
    <t>europe/cyprus/anorthosis-famagusta-fc</t>
  </si>
  <si>
    <t>europe/cyprus/apoel-fc</t>
  </si>
  <si>
    <t>europe/cyprus/apollon-limassol</t>
  </si>
  <si>
    <t>europe/cyprus/aris-limassol-fc</t>
  </si>
  <si>
    <t>europe/cyprus/karmiotissa-fc</t>
  </si>
  <si>
    <t>europe/cyprus/krasava-eny-ypsonas-fc</t>
  </si>
  <si>
    <t>europe/cyprus/nea-salamis-famagusta-fc</t>
  </si>
  <si>
    <t>europe/cyprus/olympiakos-nicosia</t>
  </si>
  <si>
    <t>europe/cyprus/ac-omonia</t>
  </si>
  <si>
    <t>europe/cyprus/pac-omonia-29m</t>
  </si>
  <si>
    <t>europe/cyprus/omonia-aradippou</t>
  </si>
  <si>
    <t>europe/cyprus/pafos-fc</t>
  </si>
  <si>
    <t>europe/hungary/debrecen</t>
  </si>
  <si>
    <t>europe/hungary/ferencvaros</t>
  </si>
  <si>
    <t>europe/hungary/gyori-eto-fc</t>
  </si>
  <si>
    <t>europe/hungary/budapest-honved-fc</t>
  </si>
  <si>
    <t>europe/hungary/kisvarda-fc</t>
  </si>
  <si>
    <t>europe/hungary/mtk-budapest-fc</t>
  </si>
  <si>
    <t>europe/hungary/nyiregyhaza-spartacus-fc</t>
  </si>
  <si>
    <t>europe/hungary/paksi-fc</t>
  </si>
  <si>
    <t>europe/hungary/puskas-akademia-fc</t>
  </si>
  <si>
    <t>europe/hungary/ujpest-fc</t>
  </si>
  <si>
    <t>europe/hungary/vasas-sc</t>
  </si>
  <si>
    <t>europe/hungary/zalaegerszeg-te</t>
  </si>
  <si>
    <t>n-s-america/uruguay/albion-fc</t>
  </si>
  <si>
    <t>n-s-america/uruguay/boston-river</t>
  </si>
  <si>
    <t>n-s-america/uruguay/central-espanol</t>
  </si>
  <si>
    <t>n-s-america/uruguay/club-atletico-cerro</t>
  </si>
  <si>
    <t>n-s-america/uruguay/cerro-largo-fc</t>
  </si>
  <si>
    <t>n-s-america/uruguay/danubio-fc</t>
  </si>
  <si>
    <t>n-s-america/uruguay/defensor-sporting</t>
  </si>
  <si>
    <t>n-s-america/uruguay/juventud-de-las-piedras</t>
  </si>
  <si>
    <t>n-s-america/uruguay/liverpool-fc-montevideo</t>
  </si>
  <si>
    <t>n-s-america/uruguay/deportivo-maldonado</t>
  </si>
  <si>
    <t>n-s-america/uruguay/montevideo-city-torque</t>
  </si>
  <si>
    <t>n-s-america/uruguay/club-nacional-de-football</t>
  </si>
  <si>
    <t>n-s-america/uruguay/penarol</t>
  </si>
  <si>
    <t>n-s-america/uruguay/club-atletico-progreso</t>
  </si>
  <si>
    <t>n-s-america/uruguay/racing-club-de-montevideo</t>
  </si>
  <si>
    <t>n-s-america/uruguay/montevideo-wanderers-fc</t>
  </si>
  <si>
    <t>europe/ukraine/fsc-bukovyna-chernivtsi</t>
  </si>
  <si>
    <t>europe/ukraine/fc-chornomorets-odessa</t>
  </si>
  <si>
    <t>europe/ukraine/fc-dynamo-kyiv</t>
  </si>
  <si>
    <t>europe/ukraine/fc-epitsentr-kamianets-podilskyi</t>
  </si>
  <si>
    <t>europe/ukraine/fc-kharkiv</t>
  </si>
  <si>
    <t>europe/ukraine/fc-karpaty-lviv</t>
  </si>
  <si>
    <t>europe/ukraine/fc-kolos-kovalivka</t>
  </si>
  <si>
    <t>europe/ukraine/fc-kryvbas-kryvyi-rih</t>
  </si>
  <si>
    <t>europe/ukraine/fc-kudrivka</t>
  </si>
  <si>
    <t>europe/ukraine/fc-livyi-bereh-kyiv</t>
  </si>
  <si>
    <t>europe/ukraine/fc-lnz-cherkasy</t>
  </si>
  <si>
    <t>europe/ukraine/fc-obolon-kyiv</t>
  </si>
  <si>
    <t>europe/ukraine/fc-polissya-zhytomyr</t>
  </si>
  <si>
    <t>europe/ukraine/fc-shakhtar-donetsk</t>
  </si>
  <si>
    <t>europe/ukraine/nk-veres-rivne</t>
  </si>
  <si>
    <t>europe/ukraine/fc-zorya-luhansk</t>
  </si>
  <si>
    <t>rest-of-the-world/japan/avispa-fukuoka</t>
  </si>
  <si>
    <t>rest-of-the-world/japan/cerezo-osaka</t>
  </si>
  <si>
    <t>rest-of-the-world/japan/fagiano-okayama</t>
  </si>
  <si>
    <t>rest-of-the-world/japan/gamba-osaka</t>
  </si>
  <si>
    <t>rest-of-the-world/japan/sanfreece-hiroshima</t>
  </si>
  <si>
    <t>rest-of-the-world/japan/jef-united-chiba</t>
  </si>
  <si>
    <t>rest-of-the-world/japan/kashima-antlers</t>
  </si>
  <si>
    <t>rest-of-the-world/japan/kashiwa-reysol</t>
  </si>
  <si>
    <t>rest-of-the-world/japan/kawasaki-frontale</t>
  </si>
  <si>
    <t>rest-of-the-world/japan/vissel-kobe</t>
  </si>
  <si>
    <t>rest-of-the-world/japan/kyoto-sanga-fc</t>
  </si>
  <si>
    <t>rest-of-the-world/japan/fc-machida-zelvia</t>
  </si>
  <si>
    <t>rest-of-the-world/japan/mito-hollyhock</t>
  </si>
  <si>
    <t>rest-of-the-world/japan/nagoya-grampus</t>
  </si>
  <si>
    <t>rest-of-the-world/japan/shimizu-s-pulse</t>
  </si>
  <si>
    <t>rest-of-the-world/japan/fc-tokyo</t>
  </si>
  <si>
    <t>rest-of-the-world/japan/tokyo-verdy</t>
  </si>
  <si>
    <t>rest-of-the-world/japan/urawa-red-diamonds</t>
  </si>
  <si>
    <t>rest-of-the-world/japan/v-varen-nagasaki</t>
  </si>
  <si>
    <t>rest-of-the-world/japan/yokohama-f-marinos</t>
  </si>
  <si>
    <t>rest-of-the-world/south-korea/fc-anyang</t>
  </si>
  <si>
    <t>rest-of-the-world/south-korea/bucheon-fc-1995</t>
  </si>
  <si>
    <t>rest-of-the-world/south-korea/daejeon-hana-citizen</t>
  </si>
  <si>
    <t>rest-of-the-world/south-korea/gangwon-fc</t>
  </si>
  <si>
    <t>rest-of-the-world/south-korea/gimcheon-sangmu-fc</t>
  </si>
  <si>
    <t>rest-of-the-world/south-korea/gwangju-fc</t>
  </si>
  <si>
    <t>rest-of-the-world/south-korea/incheon-united</t>
  </si>
  <si>
    <t>rest-of-the-world/south-korea/jeju-sk-fc</t>
  </si>
  <si>
    <t>rest-of-the-world/south-korea/jeonbuk-hyundai-motors</t>
  </si>
  <si>
    <t>rest-of-the-world/south-korea/pohang-steelers</t>
  </si>
  <si>
    <t>rest-of-the-world/south-korea/fc-seoul</t>
  </si>
  <si>
    <t>rest-of-the-world/south-korea/ulsan-hd-fc</t>
  </si>
  <si>
    <t>rest-of-the-world/china/beijing-guoan-fc</t>
  </si>
  <si>
    <t>rest-of-the-world/china/chengdu-rongcheng-fc</t>
  </si>
  <si>
    <t>rest-of-the-world/china/chongqing-tonglianglong-fc</t>
  </si>
  <si>
    <t>rest-of-the-world/china/dalian-yingbo-fc</t>
  </si>
  <si>
    <t>rest-of-the-world/china/henan-fc</t>
  </si>
  <si>
    <t>rest-of-the-world/china/liaoning-tieren-fc</t>
  </si>
  <si>
    <t>rest-of-the-world/china/qingdao-hainiu-fc</t>
  </si>
  <si>
    <t>rest-of-the-world/china/qingdao-west-coast-fc</t>
  </si>
  <si>
    <t>rest-of-the-world/china/shandong-taishan-fc</t>
  </si>
  <si>
    <t>rest-of-the-world/china/shanghai-port-fc</t>
  </si>
  <si>
    <t>rest-of-the-world/china/shanghai-shenhua-fc</t>
  </si>
  <si>
    <t>rest-of-the-world/china/shenzhen-peng-city-fc</t>
  </si>
  <si>
    <t>rest-of-the-world/china/tianjin-jinmen-tiger-fc</t>
  </si>
  <si>
    <t>rest-of-the-world/china/wuhan-three-towns-fc</t>
  </si>
  <si>
    <t>rest-of-the-world/china/yunnan-yukun-fc</t>
  </si>
  <si>
    <t>rest-of-the-world/china/zhejiang-professional-fc</t>
  </si>
  <si>
    <t>germany_b</t>
  </si>
  <si>
    <t>europe/belgium/sv-zulte-waregem</t>
  </si>
  <si>
    <t>europe/belgium/kvc-westerlo</t>
  </si>
  <si>
    <t>rest-of-the-world/egypt/el-qanah-fc</t>
  </si>
  <si>
    <t>rest-of-the-world/egypt/asyut-petroleum-sc</t>
  </si>
  <si>
    <t>rest-of-the-world/egypt/abou-qir-fertilizers-sc</t>
  </si>
  <si>
    <t>n-s-america/mexico/atlante-fc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</si>
</sst>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1" xfId="0" applyFill="1" applyBorder="1"/>
    <xf numFmtId="0" fontId="0" fillId="0" borderId="2" xfId="0" applyBorder="1"/>
    <xf numFmtId="0" fontId="0" fillId="3" borderId="2" xfId="0" applyFill="1" applyBorder="1"/>
    <xf numFmtId="0" fontId="0" fillId="0" borderId="1" xfId="0" applyBorder="1"/>
    <xf numFmtId="0" fontId="0" fillId="3" borderId="3" xfId="0" applyFill="1" applyBorder="1"/>
    <xf numFmtId="0" fontId="0" fillId="3" borderId="0" xfId="0" applyFill="1"/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</cellXfs>
  <cellStyles count="1">
    <cellStyle name="Normal" xfId="0" builtinId="0"/>
  </cellStyles>
  <dxfs count="6">
    <dxf>
      <numFmt numFmtId="0" formatCode="General"/>
      <alignment horizontal="center" textRotation="0" wrapText="0" indent="0" justifyLastLine="0" shrinkToFit="0" readingOrder="0"/>
    </dxf>
    <dxf>
      <fill>
        <patternFill>
          <bgColor theme="9" tint="0.599963377788628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29FF03-B366-468C-915B-7B9006981626}" name="Tabla1" displayName="Tabla1" ref="A1:E729" totalsRowShown="0" headerRowDxfId="5">
  <autoFilter ref="A1:E729" xr:uid="{1329FF03-B366-468C-915B-7B9006981626}"/>
  <sortState xmlns:xlrd2="http://schemas.microsoft.com/office/spreadsheetml/2017/richdata2" ref="A2:C593">
    <sortCondition ref="C1:C593"/>
  </sortState>
  <tableColumns count="5">
    <tableColumn id="2" xr3:uid="{94084D0E-9EB8-4AA2-8B8F-47973A2CEB88}" name="EQUIPO" dataDxfId="4">
      <calculatedColumnFormula>MID(Tabla1[[#This Row],[ENLACE]],FIND("~",SUBSTITUTE(Tabla1[[#This Row],[ENLACE]],"/","~",2))+1,LEN(Tabla1[[#This Row],[ENLACE]]))</calculatedColumnFormula>
    </tableColumn>
    <tableColumn id="1" xr3:uid="{B01E1C82-362B-4BF7-BCB9-D64E8D4F9629}" name="ENLACE"/>
    <tableColumn id="3" xr3:uid="{E3AB90A5-DEAD-4B94-A136-1E8126059E3B}" name="PAIS" dataDxfId="3">
      <calculatedColumnFormula>_xlfn.TEXTBEFORE(_xlfn.TEXTAFTER(Tabla1[[#This Row],[ENLACE]],"/",1),"/")</calculatedColumnFormula>
    </tableColumn>
    <tableColumn id="5" xr3:uid="{F2E44DAA-70E6-4294-A083-84669D9B9C01}" name="DIVISION" dataDxfId="2">
      <calculatedColumnFormula>Tabla1[[#This Row],[PAIS]]</calculatedColumnFormula>
    </tableColumn>
    <tableColumn id="4" xr3:uid="{864CABB9-1E94-4601-B818-3F8256A83250}" name="ANALIZAR" dataDxfId="0">
      <calculatedColumnFormula>IF(VLOOKUP(Tabla1[[#This Row],[DIVISION]],$H$2:$I$44,2)="X","SI","NO")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3E121-4DD2-4C5A-A60B-ED62DD98B116}">
  <dimension ref="A1:K729"/>
  <sheetViews>
    <sheetView tabSelected="1" topLeftCell="A715" workbookViewId="0">
      <selection activeCell="E10" sqref="E10"/>
    </sheetView>
  </sheetViews>
  <sheetFormatPr baseColWidth="10" defaultRowHeight="14.4" x14ac:dyDescent="0.3"/>
  <cols>
    <col min="1" max="1" width="32.33203125" bestFit="1" customWidth="1"/>
    <col min="2" max="2" width="53.44140625" bestFit="1" customWidth="1"/>
    <col min="3" max="3" width="12.6640625" bestFit="1" customWidth="1"/>
    <col min="4" max="4" width="12.6640625" customWidth="1"/>
    <col min="5" max="5" width="14" style="8" bestFit="1" customWidth="1"/>
    <col min="6" max="6" width="4.33203125" customWidth="1"/>
    <col min="8" max="8" width="12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572</v>
      </c>
      <c r="E1" s="1" t="s">
        <v>523</v>
      </c>
    </row>
    <row r="2" spans="1:11" x14ac:dyDescent="0.3">
      <c r="A2" t="str">
        <f>MID(Tabla1[[#This Row],[ENLACE]],FIND("~",SUBSTITUTE(Tabla1[[#This Row],[ENLACE]],"/","~",2))+1,LEN(Tabla1[[#This Row],[ENLACE]]))</f>
        <v>club-atletico-aldosivi</v>
      </c>
      <c r="B2" s="7" t="s">
        <v>131</v>
      </c>
      <c r="C2" t="str">
        <f>_xlfn.TEXTBEFORE(_xlfn.TEXTAFTER(Tabla1[[#This Row],[ENLACE]],"/",1),"/")</f>
        <v>argentina</v>
      </c>
      <c r="D2" t="str">
        <f>Tabla1[[#This Row],[PAIS]]</f>
        <v>argentina</v>
      </c>
      <c r="E2" s="8" t="str">
        <f ca="1">IF(VLOOKUP(Tabla1[[#This Row],[DIVISION]],$H$2:$I$44,2)="X","SI","NO")</f>
        <v>SI</v>
      </c>
      <c r="H2" s="9" t="str" cm="1">
        <f t="array" ref="H2:H44">_xlfn.UNIQUE(Tabla1[DIVISION])</f>
        <v>argentina</v>
      </c>
      <c r="I2" s="9" t="str">
        <f t="shared" ref="I2:I38" ca="1" si="0">IF(J2&gt;TODAY(),"","X")</f>
        <v>X</v>
      </c>
      <c r="J2" s="10">
        <v>46227</v>
      </c>
      <c r="K2" s="9" t="s">
        <v>524</v>
      </c>
    </row>
    <row r="3" spans="1:11" x14ac:dyDescent="0.3">
      <c r="A3" t="str">
        <f>MID(Tabla1[[#This Row],[ENLACE]],FIND("~",SUBSTITUTE(Tabla1[[#This Row],[ENLACE]],"/","~",2))+1,LEN(Tabla1[[#This Row],[ENLACE]]))</f>
        <v>argentinos-juniors</v>
      </c>
      <c r="B3" t="s">
        <v>132</v>
      </c>
      <c r="C3" t="str">
        <f>_xlfn.TEXTBEFORE(_xlfn.TEXTAFTER(Tabla1[[#This Row],[ENLACE]],"/",1),"/")</f>
        <v>argentina</v>
      </c>
      <c r="D3" t="str">
        <f>Tabla1[[#This Row],[PAIS]]</f>
        <v>argentina</v>
      </c>
      <c r="E3" s="8" t="str">
        <f ca="1">IF(VLOOKUP(Tabla1[[#This Row],[DIVISION]],$H$2:$I$44,2)="X","SI","NO")</f>
        <v>SI</v>
      </c>
      <c r="H3" s="9" t="str">
        <v>australia</v>
      </c>
      <c r="I3" s="9" t="str">
        <f t="shared" ca="1" si="0"/>
        <v>X</v>
      </c>
      <c r="J3" s="10">
        <v>46313</v>
      </c>
      <c r="K3" s="9" t="s">
        <v>524</v>
      </c>
    </row>
    <row r="4" spans="1:11" x14ac:dyDescent="0.3">
      <c r="A4" t="str">
        <f>MID(Tabla1[[#This Row],[ENLACE]],FIND("~",SUBSTITUTE(Tabla1[[#This Row],[ENLACE]],"/","~",2))+1,LEN(Tabla1[[#This Row],[ENLACE]]))</f>
        <v>club-atletico-tucuman</v>
      </c>
      <c r="B4" s="7" t="s">
        <v>133</v>
      </c>
      <c r="C4" t="str">
        <f>_xlfn.TEXTBEFORE(_xlfn.TEXTAFTER(Tabla1[[#This Row],[ENLACE]],"/",1),"/")</f>
        <v>argentina</v>
      </c>
      <c r="D4" t="str">
        <f>Tabla1[[#This Row],[PAIS]]</f>
        <v>argentina</v>
      </c>
      <c r="E4" s="8" t="str">
        <f ca="1">IF(VLOOKUP(Tabla1[[#This Row],[DIVISION]],$H$2:$I$44,2)="X","SI","NO")</f>
        <v>SI</v>
      </c>
      <c r="H4" s="9" t="str">
        <v>austria</v>
      </c>
      <c r="I4" s="9" t="str">
        <f t="shared" ca="1" si="0"/>
        <v>X</v>
      </c>
      <c r="J4" s="10">
        <v>46237</v>
      </c>
      <c r="K4" s="9" t="s">
        <v>524</v>
      </c>
    </row>
    <row r="5" spans="1:11" x14ac:dyDescent="0.3">
      <c r="A5" t="str">
        <f>MID(Tabla1[[#This Row],[ENLACE]],FIND("~",SUBSTITUTE(Tabla1[[#This Row],[ENLACE]],"/","~",2))+1,LEN(Tabla1[[#This Row],[ENLACE]]))</f>
        <v>club-atletico-banfield</v>
      </c>
      <c r="B5" t="s">
        <v>134</v>
      </c>
      <c r="C5" t="str">
        <f>_xlfn.TEXTBEFORE(_xlfn.TEXTAFTER(Tabla1[[#This Row],[ENLACE]],"/",1),"/")</f>
        <v>argentina</v>
      </c>
      <c r="D5" t="str">
        <f>Tabla1[[#This Row],[PAIS]]</f>
        <v>argentina</v>
      </c>
      <c r="E5" s="8" t="str">
        <f ca="1">IF(VLOOKUP(Tabla1[[#This Row],[DIVISION]],$H$2:$I$44,2)="X","SI","NO")</f>
        <v>SI</v>
      </c>
      <c r="H5" s="9" t="str">
        <v>belgium</v>
      </c>
      <c r="I5" s="9" t="str">
        <f t="shared" ca="1" si="0"/>
        <v>X</v>
      </c>
      <c r="J5" s="10">
        <v>46241</v>
      </c>
      <c r="K5" s="9" t="s">
        <v>524</v>
      </c>
    </row>
    <row r="6" spans="1:11" x14ac:dyDescent="0.3">
      <c r="A6" t="str">
        <f>MID(Tabla1[[#This Row],[ENLACE]],FIND("~",SUBSTITUTE(Tabla1[[#This Row],[ENLACE]],"/","~",2))+1,LEN(Tabla1[[#This Row],[ENLACE]]))</f>
        <v>club-atletico-barracas-central</v>
      </c>
      <c r="B6" s="7" t="s">
        <v>135</v>
      </c>
      <c r="C6" t="str">
        <f>_xlfn.TEXTBEFORE(_xlfn.TEXTAFTER(Tabla1[[#This Row],[ENLACE]],"/",1),"/")</f>
        <v>argentina</v>
      </c>
      <c r="D6" t="str">
        <f>Tabla1[[#This Row],[PAIS]]</f>
        <v>argentina</v>
      </c>
      <c r="E6" s="8" t="str">
        <f ca="1">IF(VLOOKUP(Tabla1[[#This Row],[DIVISION]],$H$2:$I$44,2)="X","SI","NO")</f>
        <v>SI</v>
      </c>
      <c r="H6" s="9" t="str">
        <v>brazil</v>
      </c>
      <c r="I6" s="9" t="str">
        <f t="shared" ca="1" si="0"/>
        <v>X</v>
      </c>
      <c r="J6" s="10">
        <v>46050</v>
      </c>
      <c r="K6" s="9" t="s">
        <v>524</v>
      </c>
    </row>
    <row r="7" spans="1:11" x14ac:dyDescent="0.3">
      <c r="A7" t="str">
        <f>MID(Tabla1[[#This Row],[ENLACE]],FIND("~",SUBSTITUTE(Tabla1[[#This Row],[ENLACE]],"/","~",2))+1,LEN(Tabla1[[#This Row],[ENLACE]]))</f>
        <v>club-atletico-belgrano</v>
      </c>
      <c r="B7" t="s">
        <v>136</v>
      </c>
      <c r="C7" t="str">
        <f>_xlfn.TEXTBEFORE(_xlfn.TEXTAFTER(Tabla1[[#This Row],[ENLACE]],"/",1),"/")</f>
        <v>argentina</v>
      </c>
      <c r="D7" t="str">
        <f>Tabla1[[#This Row],[PAIS]]</f>
        <v>argentina</v>
      </c>
      <c r="E7" s="8" t="str">
        <f ca="1">IF(VLOOKUP(Tabla1[[#This Row],[DIVISION]],$H$2:$I$44,2)="X","SI","NO")</f>
        <v>SI</v>
      </c>
      <c r="H7" s="9" t="str">
        <v>bulgaria</v>
      </c>
      <c r="I7" s="9" t="str">
        <f t="shared" ca="1" si="0"/>
        <v>X</v>
      </c>
      <c r="J7" s="10">
        <v>46224</v>
      </c>
      <c r="K7" s="9" t="s">
        <v>524</v>
      </c>
    </row>
    <row r="8" spans="1:11" x14ac:dyDescent="0.3">
      <c r="A8" t="str">
        <f>MID(Tabla1[[#This Row],[ENLACE]],FIND("~",SUBSTITUTE(Tabla1[[#This Row],[ENLACE]],"/","~",2))+1,LEN(Tabla1[[#This Row],[ENLACE]]))</f>
        <v>club-atletico-boca-juniors</v>
      </c>
      <c r="B8" s="7" t="s">
        <v>137</v>
      </c>
      <c r="C8" t="str">
        <f>_xlfn.TEXTBEFORE(_xlfn.TEXTAFTER(Tabla1[[#This Row],[ENLACE]],"/",1),"/")</f>
        <v>argentina</v>
      </c>
      <c r="D8" t="str">
        <f>Tabla1[[#This Row],[PAIS]]</f>
        <v>argentina</v>
      </c>
      <c r="E8" s="8" t="str">
        <f ca="1">IF(VLOOKUP(Tabla1[[#This Row],[DIVISION]],$H$2:$I$44,2)="X","SI","NO")</f>
        <v>SI</v>
      </c>
      <c r="H8" s="9" t="str">
        <v>chile</v>
      </c>
      <c r="I8" s="9" t="str">
        <f t="shared" ca="1" si="0"/>
        <v>X</v>
      </c>
      <c r="J8" s="10">
        <v>46052</v>
      </c>
      <c r="K8" s="9" t="s">
        <v>524</v>
      </c>
    </row>
    <row r="9" spans="1:11" x14ac:dyDescent="0.3">
      <c r="A9" t="str">
        <f>MID(Tabla1[[#This Row],[ENLACE]],FIND("~",SUBSTITUTE(Tabla1[[#This Row],[ENLACE]],"/","~",2))+1,LEN(Tabla1[[#This Row],[ENLACE]]))</f>
        <v>club-atletico-central-cordoba</v>
      </c>
      <c r="B9" t="s">
        <v>138</v>
      </c>
      <c r="C9" t="str">
        <f>_xlfn.TEXTBEFORE(_xlfn.TEXTAFTER(Tabla1[[#This Row],[ENLACE]],"/",1),"/")</f>
        <v>argentina</v>
      </c>
      <c r="D9" t="str">
        <f>Tabla1[[#This Row],[PAIS]]</f>
        <v>argentina</v>
      </c>
      <c r="E9" s="8" t="str">
        <f ca="1">IF(VLOOKUP(Tabla1[[#This Row],[DIVISION]],$H$2:$I$44,2)="X","SI","NO")</f>
        <v>SI</v>
      </c>
      <c r="H9" s="9" t="str">
        <v>colombia</v>
      </c>
      <c r="I9" s="9" t="str">
        <f t="shared" ca="1" si="0"/>
        <v>X</v>
      </c>
      <c r="J9" s="10">
        <v>46230</v>
      </c>
      <c r="K9" s="9" t="s">
        <v>524</v>
      </c>
    </row>
    <row r="10" spans="1:11" x14ac:dyDescent="0.3">
      <c r="A10" t="str">
        <f>MID(Tabla1[[#This Row],[ENLACE]],FIND("~",SUBSTITUTE(Tabla1[[#This Row],[ENLACE]],"/","~",2))+1,LEN(Tabla1[[#This Row],[ENLACE]]))</f>
        <v>defensa-y-justicia</v>
      </c>
      <c r="B10" s="7" t="s">
        <v>139</v>
      </c>
      <c r="C10" t="str">
        <f>_xlfn.TEXTBEFORE(_xlfn.TEXTAFTER(Tabla1[[#This Row],[ENLACE]],"/",1),"/")</f>
        <v>argentina</v>
      </c>
      <c r="D10" t="str">
        <f>Tabla1[[#This Row],[PAIS]]</f>
        <v>argentina</v>
      </c>
      <c r="E10" s="8" t="str">
        <f ca="1">IF(VLOOKUP(Tabla1[[#This Row],[DIVISION]],$H$2:$I$44,2)="X","SI","NO")</f>
        <v>SI</v>
      </c>
      <c r="H10" s="9" t="str">
        <v>croatia</v>
      </c>
      <c r="I10" s="9" t="str">
        <f t="shared" ca="1" si="0"/>
        <v>X</v>
      </c>
      <c r="J10" s="10">
        <v>46235</v>
      </c>
      <c r="K10" s="9" t="s">
        <v>524</v>
      </c>
    </row>
    <row r="11" spans="1:11" x14ac:dyDescent="0.3">
      <c r="A11" t="str">
        <f>MID(Tabla1[[#This Row],[ENLACE]],FIND("~",SUBSTITUTE(Tabla1[[#This Row],[ENLACE]],"/","~",2))+1,LEN(Tabla1[[#This Row],[ENLACE]]))</f>
        <v>deportivo-riestra</v>
      </c>
      <c r="B11" t="s">
        <v>140</v>
      </c>
      <c r="C11" t="str">
        <f>_xlfn.TEXTBEFORE(_xlfn.TEXTAFTER(Tabla1[[#This Row],[ENLACE]],"/",1),"/")</f>
        <v>argentina</v>
      </c>
      <c r="D11" t="str">
        <f>Tabla1[[#This Row],[PAIS]]</f>
        <v>argentina</v>
      </c>
      <c r="E11" s="8" t="str">
        <f ca="1">IF(VLOOKUP(Tabla1[[#This Row],[DIVISION]],$H$2:$I$44,2)="X","SI","NO")</f>
        <v>SI</v>
      </c>
      <c r="H11" s="9" t="str">
        <v>czech-republic</v>
      </c>
      <c r="I11" s="9" t="str">
        <f t="shared" ca="1" si="0"/>
        <v>X</v>
      </c>
      <c r="J11" s="10">
        <v>46231</v>
      </c>
      <c r="K11" s="9" t="s">
        <v>524</v>
      </c>
    </row>
    <row r="12" spans="1:11" x14ac:dyDescent="0.3">
      <c r="A12" t="str">
        <f>MID(Tabla1[[#This Row],[ENLACE]],FIND("~",SUBSTITUTE(Tabla1[[#This Row],[ENLACE]],"/","~",2))+1,LEN(Tabla1[[#This Row],[ENLACE]]))</f>
        <v>club-estudiantes-de-la-plata</v>
      </c>
      <c r="B12" s="7" t="s">
        <v>141</v>
      </c>
      <c r="C12" t="str">
        <f>_xlfn.TEXTBEFORE(_xlfn.TEXTAFTER(Tabla1[[#This Row],[ENLACE]],"/",1),"/")</f>
        <v>argentina</v>
      </c>
      <c r="D12" t="str">
        <f>Tabla1[[#This Row],[PAIS]]</f>
        <v>argentina</v>
      </c>
      <c r="E12" s="8" t="str">
        <f ca="1">IF(VLOOKUP(Tabla1[[#This Row],[DIVISION]],$H$2:$I$44,2)="X","SI","NO")</f>
        <v>SI</v>
      </c>
      <c r="H12" s="9" t="str">
        <v>denmark</v>
      </c>
      <c r="I12" s="9" t="str">
        <f t="shared" ca="1" si="0"/>
        <v>X</v>
      </c>
      <c r="J12" s="10">
        <v>46230</v>
      </c>
      <c r="K12" s="9" t="s">
        <v>524</v>
      </c>
    </row>
    <row r="13" spans="1:11" x14ac:dyDescent="0.3">
      <c r="A13" t="str">
        <f>MID(Tabla1[[#This Row],[ENLACE]],FIND("~",SUBSTITUTE(Tabla1[[#This Row],[ENLACE]],"/","~",2))+1,LEN(Tabla1[[#This Row],[ENLACE]]))</f>
        <v>estudiantes-de-rio-cuarto</v>
      </c>
      <c r="B13" t="s">
        <v>538</v>
      </c>
      <c r="C13" t="str">
        <f>_xlfn.TEXTBEFORE(_xlfn.TEXTAFTER(Tabla1[[#This Row],[ENLACE]],"/",1),"/")</f>
        <v>argentina</v>
      </c>
      <c r="D13" t="str">
        <f>Tabla1[[#This Row],[PAIS]]</f>
        <v>argentina</v>
      </c>
      <c r="E13" s="8" t="str">
        <f ca="1">IF(VLOOKUP(Tabla1[[#This Row],[DIVISION]],$H$2:$I$44,2)="X","SI","NO")</f>
        <v>SI</v>
      </c>
      <c r="H13" s="9" t="str">
        <v>ecuador</v>
      </c>
      <c r="I13" s="9" t="str">
        <f t="shared" ca="1" si="0"/>
        <v>X</v>
      </c>
      <c r="J13" s="10">
        <v>46220</v>
      </c>
      <c r="K13" s="9" t="s">
        <v>524</v>
      </c>
    </row>
    <row r="14" spans="1:11" x14ac:dyDescent="0.3">
      <c r="A14" t="str">
        <f>MID(Tabla1[[#This Row],[ENLACE]],FIND("~",SUBSTITUTE(Tabla1[[#This Row],[ENLACE]],"/","~",2))+1,LEN(Tabla1[[#This Row],[ENLACE]]))</f>
        <v>club-de-gimnasia-la-plata</v>
      </c>
      <c r="B14" s="7" t="s">
        <v>142</v>
      </c>
      <c r="C14" t="str">
        <f>_xlfn.TEXTBEFORE(_xlfn.TEXTAFTER(Tabla1[[#This Row],[ENLACE]],"/",1),"/")</f>
        <v>argentina</v>
      </c>
      <c r="D14" t="str">
        <f>Tabla1[[#This Row],[PAIS]]</f>
        <v>argentina</v>
      </c>
      <c r="E14" s="8" t="str">
        <f ca="1">IF(VLOOKUP(Tabla1[[#This Row],[DIVISION]],$H$2:$I$44,2)="X","SI","NO")</f>
        <v>SI</v>
      </c>
      <c r="H14" s="9" t="str">
        <v>england</v>
      </c>
      <c r="I14" s="9" t="str">
        <f t="shared" ca="1" si="0"/>
        <v>X</v>
      </c>
      <c r="J14" s="10">
        <v>46252</v>
      </c>
      <c r="K14" s="9" t="s">
        <v>524</v>
      </c>
    </row>
    <row r="15" spans="1:11" x14ac:dyDescent="0.3">
      <c r="A15" t="str">
        <f>MID(Tabla1[[#This Row],[ENLACE]],FIND("~",SUBSTITUTE(Tabla1[[#This Row],[ENLACE]],"/","~",2))+1,LEN(Tabla1[[#This Row],[ENLACE]]))</f>
        <v>club-gimnasia-de-mendoza</v>
      </c>
      <c r="B15" t="s">
        <v>539</v>
      </c>
      <c r="C15" t="str">
        <f>_xlfn.TEXTBEFORE(_xlfn.TEXTAFTER(Tabla1[[#This Row],[ENLACE]],"/",1),"/")</f>
        <v>argentina</v>
      </c>
      <c r="D15" t="str">
        <f>Tabla1[[#This Row],[PAIS]]</f>
        <v>argentina</v>
      </c>
      <c r="E15" s="8" t="str">
        <f ca="1">IF(VLOOKUP(Tabla1[[#This Row],[DIVISION]],$H$2:$I$44,2)="X","SI","NO")</f>
        <v>SI</v>
      </c>
      <c r="H15" s="9" t="str">
        <v>england_b</v>
      </c>
      <c r="I15" s="9" t="str">
        <f t="shared" ca="1" si="0"/>
        <v>X</v>
      </c>
      <c r="J15" s="10">
        <v>46116</v>
      </c>
      <c r="K15" s="9" t="s">
        <v>524</v>
      </c>
    </row>
    <row r="16" spans="1:11" x14ac:dyDescent="0.3">
      <c r="A16" t="str">
        <f>MID(Tabla1[[#This Row],[ENLACE]],FIND("~",SUBSTITUTE(Tabla1[[#This Row],[ENLACE]],"/","~",2))+1,LEN(Tabla1[[#This Row],[ENLACE]]))</f>
        <v>club-atletico-huracan</v>
      </c>
      <c r="B16" s="7" t="s">
        <v>143</v>
      </c>
      <c r="C16" t="str">
        <f>_xlfn.TEXTBEFORE(_xlfn.TEXTAFTER(Tabla1[[#This Row],[ENLACE]],"/",1),"/")</f>
        <v>argentina</v>
      </c>
      <c r="D16" t="str">
        <f>Tabla1[[#This Row],[PAIS]]</f>
        <v>argentina</v>
      </c>
      <c r="E16" s="8" t="str">
        <f ca="1">IF(VLOOKUP(Tabla1[[#This Row],[DIVISION]],$H$2:$I$44,2)="X","SI","NO")</f>
        <v>SI</v>
      </c>
      <c r="H16" s="9" t="str">
        <v>finland</v>
      </c>
      <c r="I16" s="9" t="str">
        <f t="shared" ca="1" si="0"/>
        <v>X</v>
      </c>
      <c r="J16" s="10">
        <v>46258</v>
      </c>
      <c r="K16" s="9" t="s">
        <v>524</v>
      </c>
    </row>
    <row r="17" spans="1:11" x14ac:dyDescent="0.3">
      <c r="A17" t="str">
        <f>MID(Tabla1[[#This Row],[ENLACE]],FIND("~",SUBSTITUTE(Tabla1[[#This Row],[ENLACE]],"/","~",2))+1,LEN(Tabla1[[#This Row],[ENLACE]]))</f>
        <v>club-sportivo-independiente-rivadavia</v>
      </c>
      <c r="B17" t="s">
        <v>144</v>
      </c>
      <c r="C17" t="str">
        <f>_xlfn.TEXTBEFORE(_xlfn.TEXTAFTER(Tabla1[[#This Row],[ENLACE]],"/",1),"/")</f>
        <v>argentina</v>
      </c>
      <c r="D17" t="str">
        <f>Tabla1[[#This Row],[PAIS]]</f>
        <v>argentina</v>
      </c>
      <c r="E17" s="8" t="str">
        <f ca="1">IF(VLOOKUP(Tabla1[[#This Row],[DIVISION]],$H$2:$I$44,2)="X","SI","NO")</f>
        <v>SI</v>
      </c>
      <c r="H17" s="9" t="str">
        <v>france</v>
      </c>
      <c r="I17" s="9" t="str">
        <f t="shared" ca="1" si="0"/>
        <v>X</v>
      </c>
      <c r="J17" s="10">
        <v>46244</v>
      </c>
      <c r="K17" s="9" t="s">
        <v>524</v>
      </c>
    </row>
    <row r="18" spans="1:11" x14ac:dyDescent="0.3">
      <c r="A18" t="str">
        <f>MID(Tabla1[[#This Row],[ENLACE]],FIND("~",SUBSTITUTE(Tabla1[[#This Row],[ENLACE]],"/","~",2))+1,LEN(Tabla1[[#This Row],[ENLACE]]))</f>
        <v>club-atletico-independiente</v>
      </c>
      <c r="B18" s="7" t="s">
        <v>145</v>
      </c>
      <c r="C18" t="str">
        <f>_xlfn.TEXTBEFORE(_xlfn.TEXTAFTER(Tabla1[[#This Row],[ENLACE]],"/",1),"/")</f>
        <v>argentina</v>
      </c>
      <c r="D18" t="str">
        <f>Tabla1[[#This Row],[PAIS]]</f>
        <v>argentina</v>
      </c>
      <c r="E18" s="8" t="str">
        <f ca="1">IF(VLOOKUP(Tabla1[[#This Row],[DIVISION]],$H$2:$I$44,2)="X","SI","NO")</f>
        <v>SI</v>
      </c>
      <c r="H18" s="9" t="str">
        <v>germany</v>
      </c>
      <c r="I18" s="9" t="str">
        <f t="shared" ca="1" si="0"/>
        <v>X</v>
      </c>
      <c r="J18" s="10">
        <v>46257</v>
      </c>
      <c r="K18" s="9" t="s">
        <v>524</v>
      </c>
    </row>
    <row r="19" spans="1:11" x14ac:dyDescent="0.3">
      <c r="A19" t="str">
        <f>MID(Tabla1[[#This Row],[ENLACE]],FIND("~",SUBSTITUTE(Tabla1[[#This Row],[ENLACE]],"/","~",2))+1,LEN(Tabla1[[#This Row],[ENLACE]]))</f>
        <v>instituto-atletico-central-cordoba</v>
      </c>
      <c r="B19" t="s">
        <v>146</v>
      </c>
      <c r="C19" t="str">
        <f>_xlfn.TEXTBEFORE(_xlfn.TEXTAFTER(Tabla1[[#This Row],[ENLACE]],"/",1),"/")</f>
        <v>argentina</v>
      </c>
      <c r="D19" t="str">
        <f>Tabla1[[#This Row],[PAIS]]</f>
        <v>argentina</v>
      </c>
      <c r="E19" s="8" t="str">
        <f ca="1">IF(VLOOKUP(Tabla1[[#This Row],[DIVISION]],$H$2:$I$44,2)="X","SI","NO")</f>
        <v>SI</v>
      </c>
      <c r="H19" s="9" t="str">
        <v>germany_b</v>
      </c>
      <c r="I19" s="9" t="str">
        <f t="shared" ca="1" si="0"/>
        <v>X</v>
      </c>
      <c r="J19" s="10">
        <v>46259</v>
      </c>
      <c r="K19" s="9" t="s">
        <v>524</v>
      </c>
    </row>
    <row r="20" spans="1:11" x14ac:dyDescent="0.3">
      <c r="A20" t="str">
        <f>MID(Tabla1[[#This Row],[ENLACE]],FIND("~",SUBSTITUTE(Tabla1[[#This Row],[ENLACE]],"/","~",2))+1,LEN(Tabla1[[#This Row],[ENLACE]]))</f>
        <v>club-atletico-lanus</v>
      </c>
      <c r="B20" s="7" t="s">
        <v>147</v>
      </c>
      <c r="C20" t="str">
        <f>_xlfn.TEXTBEFORE(_xlfn.TEXTAFTER(Tabla1[[#This Row],[ENLACE]],"/",1),"/")</f>
        <v>argentina</v>
      </c>
      <c r="D20" t="str">
        <f>Tabla1[[#This Row],[PAIS]]</f>
        <v>argentina</v>
      </c>
      <c r="E20" s="8" t="str">
        <f ca="1">IF(VLOOKUP(Tabla1[[#This Row],[DIVISION]],$H$2:$I$44,2)="X","SI","NO")</f>
        <v>SI</v>
      </c>
      <c r="H20" s="9" t="str">
        <v>greece</v>
      </c>
      <c r="I20" s="9" t="str">
        <f t="shared" ca="1" si="0"/>
        <v>X</v>
      </c>
      <c r="J20" s="10">
        <v>46220</v>
      </c>
      <c r="K20" s="9" t="s">
        <v>524</v>
      </c>
    </row>
    <row r="21" spans="1:11" x14ac:dyDescent="0.3">
      <c r="A21" t="str">
        <f>MID(Tabla1[[#This Row],[ENLACE]],FIND("~",SUBSTITUTE(Tabla1[[#This Row],[ENLACE]],"/","~",2))+1,LEN(Tabla1[[#This Row],[ENLACE]]))</f>
        <v>club-atletico-newells-old-boys</v>
      </c>
      <c r="B21" t="s">
        <v>148</v>
      </c>
      <c r="C21" t="str">
        <f>_xlfn.TEXTBEFORE(_xlfn.TEXTAFTER(Tabla1[[#This Row],[ENLACE]],"/",1),"/")</f>
        <v>argentina</v>
      </c>
      <c r="D21" t="str">
        <f>Tabla1[[#This Row],[PAIS]]</f>
        <v>argentina</v>
      </c>
      <c r="E21" s="8" t="str">
        <f ca="1">IF(VLOOKUP(Tabla1[[#This Row],[DIVISION]],$H$2:$I$44,2)="X","SI","NO")</f>
        <v>SI</v>
      </c>
      <c r="H21" s="9" t="str">
        <v>italy</v>
      </c>
      <c r="I21" s="9" t="str">
        <f t="shared" ca="1" si="0"/>
        <v>X</v>
      </c>
      <c r="J21" s="10">
        <v>46244</v>
      </c>
      <c r="K21" s="9" t="s">
        <v>524</v>
      </c>
    </row>
    <row r="22" spans="1:11" x14ac:dyDescent="0.3">
      <c r="A22" t="str">
        <f>MID(Tabla1[[#This Row],[ENLACE]],FIND("~",SUBSTITUTE(Tabla1[[#This Row],[ENLACE]],"/","~",2))+1,LEN(Tabla1[[#This Row],[ENLACE]]))</f>
        <v>club-atletico-platense</v>
      </c>
      <c r="B22" s="2" t="s">
        <v>149</v>
      </c>
      <c r="C22" t="str">
        <f>_xlfn.TEXTBEFORE(_xlfn.TEXTAFTER(Tabla1[[#This Row],[ENLACE]],"/",1),"/")</f>
        <v>argentina</v>
      </c>
      <c r="D22" t="str">
        <f>Tabla1[[#This Row],[PAIS]]</f>
        <v>argentina</v>
      </c>
      <c r="E22" s="8" t="str">
        <f ca="1">IF(VLOOKUP(Tabla1[[#This Row],[DIVISION]],$H$2:$I$44,2)="X","SI","NO")</f>
        <v>SI</v>
      </c>
      <c r="H22" s="9" t="str">
        <v>mexico</v>
      </c>
      <c r="I22" s="9" t="str">
        <f t="shared" ca="1" si="0"/>
        <v>X</v>
      </c>
      <c r="J22" s="10">
        <v>46095</v>
      </c>
      <c r="K22" s="9" t="s">
        <v>524</v>
      </c>
    </row>
    <row r="23" spans="1:11" x14ac:dyDescent="0.3">
      <c r="A23" t="str">
        <f>MID(Tabla1[[#This Row],[ENLACE]],FIND("~",SUBSTITUTE(Tabla1[[#This Row],[ENLACE]],"/","~",2))+1,LEN(Tabla1[[#This Row],[ENLACE]]))</f>
        <v>racing-club-de-avellaneda</v>
      </c>
      <c r="B23" s="3" t="s">
        <v>150</v>
      </c>
      <c r="C23" t="str">
        <f>_xlfn.TEXTBEFORE(_xlfn.TEXTAFTER(Tabla1[[#This Row],[ENLACE]],"/",1),"/")</f>
        <v>argentina</v>
      </c>
      <c r="D23" t="str">
        <f>Tabla1[[#This Row],[PAIS]]</f>
        <v>argentina</v>
      </c>
      <c r="E23" s="8" t="str">
        <f ca="1">IF(VLOOKUP(Tabla1[[#This Row],[DIVISION]],$H$2:$I$44,2)="X","SI","NO")</f>
        <v>SI</v>
      </c>
      <c r="H23" s="9" t="str">
        <v>netherlands</v>
      </c>
      <c r="I23" s="9" t="str">
        <f t="shared" ca="1" si="0"/>
        <v>X</v>
      </c>
      <c r="J23" s="10">
        <v>46223</v>
      </c>
      <c r="K23" s="9" t="s">
        <v>524</v>
      </c>
    </row>
    <row r="24" spans="1:11" x14ac:dyDescent="0.3">
      <c r="A24" t="str">
        <f>MID(Tabla1[[#This Row],[ENLACE]],FIND("~",SUBSTITUTE(Tabla1[[#This Row],[ENLACE]],"/","~",2))+1,LEN(Tabla1[[#This Row],[ENLACE]]))</f>
        <v>club-atletico-river-plate</v>
      </c>
      <c r="B24" s="4" t="s">
        <v>151</v>
      </c>
      <c r="C24" t="str">
        <f>_xlfn.TEXTBEFORE(_xlfn.TEXTAFTER(Tabla1[[#This Row],[ENLACE]],"/",1),"/")</f>
        <v>argentina</v>
      </c>
      <c r="D24" t="str">
        <f>Tabla1[[#This Row],[PAIS]]</f>
        <v>argentina</v>
      </c>
      <c r="E24" s="8" t="str">
        <f ca="1">IF(VLOOKUP(Tabla1[[#This Row],[DIVISION]],$H$2:$I$44,2)="X","SI","NO")</f>
        <v>SI</v>
      </c>
      <c r="H24" s="9" t="str">
        <v>norway</v>
      </c>
      <c r="I24" s="9" t="str">
        <f t="shared" ca="1" si="0"/>
        <v>X</v>
      </c>
      <c r="J24" s="10">
        <v>46231</v>
      </c>
      <c r="K24" s="9" t="s">
        <v>524</v>
      </c>
    </row>
    <row r="25" spans="1:11" x14ac:dyDescent="0.3">
      <c r="A25" t="str">
        <f>MID(Tabla1[[#This Row],[ENLACE]],FIND("~",SUBSTITUTE(Tabla1[[#This Row],[ENLACE]],"/","~",2))+1,LEN(Tabla1[[#This Row],[ENLACE]]))</f>
        <v>club-atletico-rosario-central</v>
      </c>
      <c r="B25" s="3" t="s">
        <v>152</v>
      </c>
      <c r="C25" t="str">
        <f>_xlfn.TEXTBEFORE(_xlfn.TEXTAFTER(Tabla1[[#This Row],[ENLACE]],"/",1),"/")</f>
        <v>argentina</v>
      </c>
      <c r="D25" t="str">
        <f>Tabla1[[#This Row],[PAIS]]</f>
        <v>argentina</v>
      </c>
      <c r="E25" s="8" t="str">
        <f ca="1">IF(VLOOKUP(Tabla1[[#This Row],[DIVISION]],$H$2:$I$44,2)="X","SI","NO")</f>
        <v>SI</v>
      </c>
      <c r="H25" s="9" t="str">
        <v>peru</v>
      </c>
      <c r="I25" s="9" t="str">
        <f t="shared" ca="1" si="0"/>
        <v>X</v>
      </c>
      <c r="J25" s="10">
        <v>46243</v>
      </c>
      <c r="K25" s="9" t="s">
        <v>524</v>
      </c>
    </row>
    <row r="26" spans="1:11" x14ac:dyDescent="0.3">
      <c r="A26" t="str">
        <f>MID(Tabla1[[#This Row],[ENLACE]],FIND("~",SUBSTITUTE(Tabla1[[#This Row],[ENLACE]],"/","~",2))+1,LEN(Tabla1[[#This Row],[ENLACE]]))</f>
        <v>san-lorenzo-de-almagro</v>
      </c>
      <c r="B26" s="4" t="s">
        <v>153</v>
      </c>
      <c r="C26" t="str">
        <f>_xlfn.TEXTBEFORE(_xlfn.TEXTAFTER(Tabla1[[#This Row],[ENLACE]],"/",1),"/")</f>
        <v>argentina</v>
      </c>
      <c r="D26" t="str">
        <f>Tabla1[[#This Row],[PAIS]]</f>
        <v>argentina</v>
      </c>
      <c r="E26" s="8" t="str">
        <f ca="1">IF(VLOOKUP(Tabla1[[#This Row],[DIVISION]],$H$2:$I$44,2)="X","SI","NO")</f>
        <v>SI</v>
      </c>
      <c r="H26" s="9" t="str">
        <v>poland</v>
      </c>
      <c r="I26" s="9" t="str">
        <f t="shared" ca="1" si="0"/>
        <v>X</v>
      </c>
      <c r="J26" s="10">
        <v>46224</v>
      </c>
      <c r="K26" s="9" t="s">
        <v>524</v>
      </c>
    </row>
    <row r="27" spans="1:11" x14ac:dyDescent="0.3">
      <c r="A27" t="str">
        <f>MID(Tabla1[[#This Row],[ENLACE]],FIND("~",SUBSTITUTE(Tabla1[[#This Row],[ENLACE]],"/","~",2))+1,LEN(Tabla1[[#This Row],[ENLACE]]))</f>
        <v>club-atletico-sarmiento-junin</v>
      </c>
      <c r="B27" s="3" t="s">
        <v>154</v>
      </c>
      <c r="C27" t="str">
        <f>_xlfn.TEXTBEFORE(_xlfn.TEXTAFTER(Tabla1[[#This Row],[ENLACE]],"/",1),"/")</f>
        <v>argentina</v>
      </c>
      <c r="D27" t="str">
        <f>Tabla1[[#This Row],[PAIS]]</f>
        <v>argentina</v>
      </c>
      <c r="E27" s="8" t="str">
        <f ca="1">IF(VLOOKUP(Tabla1[[#This Row],[DIVISION]],$H$2:$I$44,2)="X","SI","NO")</f>
        <v>SI</v>
      </c>
      <c r="H27" s="9" t="str">
        <v>portugal</v>
      </c>
      <c r="I27" s="9" t="str">
        <f t="shared" ca="1" si="0"/>
        <v>X</v>
      </c>
      <c r="J27" s="10">
        <v>46242</v>
      </c>
      <c r="K27" s="9" t="s">
        <v>524</v>
      </c>
    </row>
    <row r="28" spans="1:11" x14ac:dyDescent="0.3">
      <c r="A28" t="str">
        <f>MID(Tabla1[[#This Row],[ENLACE]],FIND("~",SUBSTITUTE(Tabla1[[#This Row],[ENLACE]],"/","~",2))+1,LEN(Tabla1[[#This Row],[ENLACE]]))</f>
        <v>club-atletico-talleres</v>
      </c>
      <c r="B28" s="4" t="s">
        <v>155</v>
      </c>
      <c r="C28" t="str">
        <f>_xlfn.TEXTBEFORE(_xlfn.TEXTAFTER(Tabla1[[#This Row],[ENLACE]],"/",1),"/")</f>
        <v>argentina</v>
      </c>
      <c r="D28" t="str">
        <f>Tabla1[[#This Row],[PAIS]]</f>
        <v>argentina</v>
      </c>
      <c r="E28" s="8" t="str">
        <f ca="1">IF(VLOOKUP(Tabla1[[#This Row],[DIVISION]],$H$2:$I$44,2)="X","SI","NO")</f>
        <v>SI</v>
      </c>
      <c r="H28" s="9" t="str">
        <v>romania</v>
      </c>
      <c r="I28" s="9" t="str">
        <f t="shared" ca="1" si="0"/>
        <v>X</v>
      </c>
      <c r="J28" s="10">
        <v>46238</v>
      </c>
      <c r="K28" s="9" t="s">
        <v>524</v>
      </c>
    </row>
    <row r="29" spans="1:11" x14ac:dyDescent="0.3">
      <c r="A29" t="str">
        <f>MID(Tabla1[[#This Row],[ENLACE]],FIND("~",SUBSTITUTE(Tabla1[[#This Row],[ENLACE]],"/","~",2))+1,LEN(Tabla1[[#This Row],[ENLACE]]))</f>
        <v>club-atletico-tigre</v>
      </c>
      <c r="B29" s="3" t="s">
        <v>156</v>
      </c>
      <c r="C29" t="str">
        <f>_xlfn.TEXTBEFORE(_xlfn.TEXTAFTER(Tabla1[[#This Row],[ENLACE]],"/",1),"/")</f>
        <v>argentina</v>
      </c>
      <c r="D29" t="str">
        <f>Tabla1[[#This Row],[PAIS]]</f>
        <v>argentina</v>
      </c>
      <c r="E29" s="8" t="str">
        <f ca="1">IF(VLOOKUP(Tabla1[[#This Row],[DIVISION]],$H$2:$I$44,2)="X","SI","NO")</f>
        <v>SI</v>
      </c>
      <c r="H29" s="9" t="str">
        <v>saudi-arabia</v>
      </c>
      <c r="I29" s="9" t="str">
        <f t="shared" ca="1" si="0"/>
        <v>X</v>
      </c>
      <c r="J29" s="10">
        <v>46252</v>
      </c>
      <c r="K29" s="9" t="s">
        <v>524</v>
      </c>
    </row>
    <row r="30" spans="1:11" x14ac:dyDescent="0.3">
      <c r="A30" t="str">
        <f>MID(Tabla1[[#This Row],[ENLACE]],FIND("~",SUBSTITUTE(Tabla1[[#This Row],[ENLACE]],"/","~",2))+1,LEN(Tabla1[[#This Row],[ENLACE]]))</f>
        <v>club-atletico-union-de-santa-fe</v>
      </c>
      <c r="B30" s="4" t="s">
        <v>157</v>
      </c>
      <c r="C30" t="str">
        <f>_xlfn.TEXTBEFORE(_xlfn.TEXTAFTER(Tabla1[[#This Row],[ENLACE]],"/",1),"/")</f>
        <v>argentina</v>
      </c>
      <c r="D30" t="str">
        <f>Tabla1[[#This Row],[PAIS]]</f>
        <v>argentina</v>
      </c>
      <c r="E30" s="8" t="str">
        <f ca="1">IF(VLOOKUP(Tabla1[[#This Row],[DIVISION]],$H$2:$I$44,2)="X","SI","NO")</f>
        <v>SI</v>
      </c>
      <c r="H30" s="9" t="str">
        <v>scotland</v>
      </c>
      <c r="I30" s="9" t="str">
        <f t="shared" ca="1" si="0"/>
        <v>X</v>
      </c>
      <c r="J30" s="10">
        <v>46229</v>
      </c>
      <c r="K30" s="9" t="s">
        <v>524</v>
      </c>
    </row>
    <row r="31" spans="1:11" x14ac:dyDescent="0.3">
      <c r="A31" t="str">
        <f>MID(Tabla1[[#This Row],[ENLACE]],FIND("~",SUBSTITUTE(Tabla1[[#This Row],[ENLACE]],"/","~",2))+1,LEN(Tabla1[[#This Row],[ENLACE]]))</f>
        <v>club-atletico-velez-sarsfield</v>
      </c>
      <c r="B31" s="3" t="s">
        <v>158</v>
      </c>
      <c r="C31" t="str">
        <f>_xlfn.TEXTBEFORE(_xlfn.TEXTAFTER(Tabla1[[#This Row],[ENLACE]],"/",1),"/")</f>
        <v>argentina</v>
      </c>
      <c r="D31" t="str">
        <f>Tabla1[[#This Row],[PAIS]]</f>
        <v>argentina</v>
      </c>
      <c r="E31" s="8" t="str">
        <f ca="1">IF(VLOOKUP(Tabla1[[#This Row],[DIVISION]],$H$2:$I$44,2)="X","SI","NO")</f>
        <v>SI</v>
      </c>
      <c r="H31" s="9" t="str">
        <v>spain</v>
      </c>
      <c r="I31" s="9" t="str">
        <f t="shared" ca="1" si="0"/>
        <v>X</v>
      </c>
      <c r="J31" s="10">
        <v>46230</v>
      </c>
      <c r="K31" s="9" t="s">
        <v>524</v>
      </c>
    </row>
    <row r="32" spans="1:11" x14ac:dyDescent="0.3">
      <c r="A32" t="str">
        <f>MID(Tabla1[[#This Row],[ENLACE]],FIND("~",SUBSTITUTE(Tabla1[[#This Row],[ENLACE]],"/","~",2))+1,LEN(Tabla1[[#This Row],[ENLACE]]))</f>
        <v>adelaide-united-fc</v>
      </c>
      <c r="B32" s="3" t="s">
        <v>501</v>
      </c>
      <c r="C32" t="str">
        <f>_xlfn.TEXTBEFORE(_xlfn.TEXTAFTER(Tabla1[[#This Row],[ENLACE]],"/",1),"/")</f>
        <v>australia</v>
      </c>
      <c r="D32" t="str">
        <f>Tabla1[[#This Row],[PAIS]]</f>
        <v>australia</v>
      </c>
      <c r="E32" s="8" t="str">
        <f ca="1">IF(VLOOKUP(Tabla1[[#This Row],[DIVISION]],$H$2:$I$44,2)="X","SI","NO")</f>
        <v>SI</v>
      </c>
      <c r="H32" s="9" t="str">
        <v>spain_b</v>
      </c>
      <c r="I32" s="9" t="str">
        <f t="shared" ca="1" si="0"/>
        <v>X</v>
      </c>
      <c r="J32" s="10">
        <v>46074</v>
      </c>
      <c r="K32" s="9" t="s">
        <v>524</v>
      </c>
    </row>
    <row r="33" spans="1:11" x14ac:dyDescent="0.3">
      <c r="A33" t="str">
        <f>MID(Tabla1[[#This Row],[ENLACE]],FIND("~",SUBSTITUTE(Tabla1[[#This Row],[ENLACE]],"/","~",2))+1,LEN(Tabla1[[#This Row],[ENLACE]]))</f>
        <v>auckland-fc</v>
      </c>
      <c r="B33" s="3" t="s">
        <v>502</v>
      </c>
      <c r="C33" t="str">
        <f>_xlfn.TEXTBEFORE(_xlfn.TEXTAFTER(Tabla1[[#This Row],[ENLACE]],"/",1),"/")</f>
        <v>australia</v>
      </c>
      <c r="D33" t="str">
        <f>Tabla1[[#This Row],[PAIS]]</f>
        <v>australia</v>
      </c>
      <c r="E33" s="8" t="str">
        <f ca="1">IF(VLOOKUP(Tabla1[[#This Row],[DIVISION]],$H$2:$I$44,2)="X","SI","NO")</f>
        <v>SI</v>
      </c>
      <c r="H33" s="9" t="str">
        <v>sweden</v>
      </c>
      <c r="I33" s="9" t="str">
        <f t="shared" ca="1" si="0"/>
        <v>X</v>
      </c>
      <c r="J33" s="10">
        <v>46121</v>
      </c>
      <c r="K33" s="9" t="s">
        <v>524</v>
      </c>
    </row>
    <row r="34" spans="1:11" x14ac:dyDescent="0.3">
      <c r="A34" t="str">
        <f>MID(Tabla1[[#This Row],[ENLACE]],FIND("~",SUBSTITUTE(Tabla1[[#This Row],[ENLACE]],"/","~",2))+1,LEN(Tabla1[[#This Row],[ENLACE]]))</f>
        <v>brisbane-roar-fc</v>
      </c>
      <c r="B34" s="3" t="s">
        <v>503</v>
      </c>
      <c r="C34" t="str">
        <f>_xlfn.TEXTBEFORE(_xlfn.TEXTAFTER(Tabla1[[#This Row],[ENLACE]],"/",1),"/")</f>
        <v>australia</v>
      </c>
      <c r="D34" t="str">
        <f>Tabla1[[#This Row],[PAIS]]</f>
        <v>australia</v>
      </c>
      <c r="E34" s="8" t="str">
        <f ca="1">IF(VLOOKUP(Tabla1[[#This Row],[DIVISION]],$H$2:$I$44,2)="X","SI","NO")</f>
        <v>SI</v>
      </c>
      <c r="H34" s="9" t="str">
        <v>switzerland</v>
      </c>
      <c r="I34" s="9" t="str">
        <f t="shared" ca="1" si="0"/>
        <v>X</v>
      </c>
      <c r="J34" s="10">
        <v>46121</v>
      </c>
      <c r="K34" s="9" t="s">
        <v>524</v>
      </c>
    </row>
    <row r="35" spans="1:11" x14ac:dyDescent="0.3">
      <c r="A35" t="str">
        <f>MID(Tabla1[[#This Row],[ENLACE]],FIND("~",SUBSTITUTE(Tabla1[[#This Row],[ENLACE]],"/","~",2))+1,LEN(Tabla1[[#This Row],[ENLACE]]))</f>
        <v>central-coast-mariners-fc</v>
      </c>
      <c r="B35" s="3" t="s">
        <v>504</v>
      </c>
      <c r="C35" t="str">
        <f>_xlfn.TEXTBEFORE(_xlfn.TEXTAFTER(Tabla1[[#This Row],[ENLACE]],"/",1),"/")</f>
        <v>australia</v>
      </c>
      <c r="D35" t="str">
        <f>Tabla1[[#This Row],[PAIS]]</f>
        <v>australia</v>
      </c>
      <c r="E35" s="8" t="str">
        <f ca="1">IF(VLOOKUP(Tabla1[[#This Row],[DIVISION]],$H$2:$I$44,2)="X","SI","NO")</f>
        <v>SI</v>
      </c>
      <c r="H35" s="9" t="str">
        <v>usa</v>
      </c>
      <c r="I35" s="9" t="str">
        <f t="shared" ca="1" si="0"/>
        <v>X</v>
      </c>
      <c r="J35" s="10">
        <v>46284</v>
      </c>
      <c r="K35" s="9" t="s">
        <v>524</v>
      </c>
    </row>
    <row r="36" spans="1:11" x14ac:dyDescent="0.3">
      <c r="A36" t="str">
        <f>MID(Tabla1[[#This Row],[ENLACE]],FIND("~",SUBSTITUTE(Tabla1[[#This Row],[ENLACE]],"/","~",2))+1,LEN(Tabla1[[#This Row],[ENLACE]]))</f>
        <v>macarthur-fc</v>
      </c>
      <c r="B36" s="3" t="s">
        <v>505</v>
      </c>
      <c r="C36" t="str">
        <f>_xlfn.TEXTBEFORE(_xlfn.TEXTAFTER(Tabla1[[#This Row],[ENLACE]],"/",1),"/")</f>
        <v>australia</v>
      </c>
      <c r="D36" t="str">
        <f>Tabla1[[#This Row],[PAIS]]</f>
        <v>australia</v>
      </c>
      <c r="E36" s="8" t="str">
        <f ca="1">IF(VLOOKUP(Tabla1[[#This Row],[DIVISION]],$H$2:$I$44,2)="X","SI","NO")</f>
        <v>SI</v>
      </c>
      <c r="H36" s="9" t="str">
        <v>ireland</v>
      </c>
      <c r="I36" s="9" t="str">
        <f t="shared" ca="1" si="0"/>
        <v>X</v>
      </c>
      <c r="J36" s="10">
        <v>46284</v>
      </c>
      <c r="K36" s="9" t="s">
        <v>524</v>
      </c>
    </row>
    <row r="37" spans="1:11" x14ac:dyDescent="0.3">
      <c r="A37" t="str">
        <f>MID(Tabla1[[#This Row],[ENLACE]],FIND("~",SUBSTITUTE(Tabla1[[#This Row],[ENLACE]],"/","~",2))+1,LEN(Tabla1[[#This Row],[ENLACE]]))</f>
        <v>melbourne-city-fc</v>
      </c>
      <c r="B37" s="3" t="s">
        <v>506</v>
      </c>
      <c r="C37" t="str">
        <f>_xlfn.TEXTBEFORE(_xlfn.TEXTAFTER(Tabla1[[#This Row],[ENLACE]],"/",1),"/")</f>
        <v>australia</v>
      </c>
      <c r="D37" t="str">
        <f>Tabla1[[#This Row],[PAIS]]</f>
        <v>australia</v>
      </c>
      <c r="E37" s="8" t="str">
        <f ca="1">IF(VLOOKUP(Tabla1[[#This Row],[DIVISION]],$H$2:$I$44,2)="X","SI","NO")</f>
        <v>SI</v>
      </c>
      <c r="H37" s="9" t="str">
        <v>egypt</v>
      </c>
      <c r="I37" s="9" t="str">
        <f t="shared" ca="1" si="0"/>
        <v>X</v>
      </c>
      <c r="J37" s="10">
        <v>46284</v>
      </c>
      <c r="K37" s="9" t="s">
        <v>524</v>
      </c>
    </row>
    <row r="38" spans="1:11" x14ac:dyDescent="0.3">
      <c r="A38" t="str">
        <f>MID(Tabla1[[#This Row],[ENLACE]],FIND("~",SUBSTITUTE(Tabla1[[#This Row],[ENLACE]],"/","~",2))+1,LEN(Tabla1[[#This Row],[ENLACE]]))</f>
        <v>melbourne-victory-fc</v>
      </c>
      <c r="B38" s="3" t="s">
        <v>507</v>
      </c>
      <c r="C38" t="str">
        <f>_xlfn.TEXTBEFORE(_xlfn.TEXTAFTER(Tabla1[[#This Row],[ENLACE]],"/",1),"/")</f>
        <v>australia</v>
      </c>
      <c r="D38" t="str">
        <f>Tabla1[[#This Row],[PAIS]]</f>
        <v>australia</v>
      </c>
      <c r="E38" s="8" t="str">
        <f ca="1">IF(VLOOKUP(Tabla1[[#This Row],[DIVISION]],$H$2:$I$44,2)="X","SI","NO")</f>
        <v>SI</v>
      </c>
      <c r="H38" s="9" t="str">
        <v>cyprus</v>
      </c>
      <c r="I38" s="9" t="str">
        <f t="shared" ca="1" si="0"/>
        <v>X</v>
      </c>
      <c r="J38" s="11">
        <v>46299</v>
      </c>
      <c r="K38" s="9" t="s">
        <v>524</v>
      </c>
    </row>
    <row r="39" spans="1:11" x14ac:dyDescent="0.3">
      <c r="A39" t="str">
        <f>MID(Tabla1[[#This Row],[ENLACE]],FIND("~",SUBSTITUTE(Tabla1[[#This Row],[ENLACE]],"/","~",2))+1,LEN(Tabla1[[#This Row],[ENLACE]]))</f>
        <v>newcastle-jets-fc</v>
      </c>
      <c r="B39" s="3" t="s">
        <v>508</v>
      </c>
      <c r="C39" t="str">
        <f>_xlfn.TEXTBEFORE(_xlfn.TEXTAFTER(Tabla1[[#This Row],[ENLACE]],"/",1),"/")</f>
        <v>australia</v>
      </c>
      <c r="D39" t="str">
        <f>Tabla1[[#This Row],[PAIS]]</f>
        <v>australia</v>
      </c>
      <c r="E39" s="8" t="str">
        <f ca="1">IF(VLOOKUP(Tabla1[[#This Row],[DIVISION]],$H$2:$I$44,2)="X","SI","NO")</f>
        <v>SI</v>
      </c>
      <c r="H39" s="9" t="str">
        <v>hungary</v>
      </c>
      <c r="I39" s="9" t="str">
        <f t="shared" ref="I33:I39" ca="1" si="1">IF(J39&gt;TODAY(),"","X")</f>
        <v>X</v>
      </c>
      <c r="J39" s="11">
        <v>46299</v>
      </c>
      <c r="K39" s="9" t="s">
        <v>524</v>
      </c>
    </row>
    <row r="40" spans="1:11" x14ac:dyDescent="0.3">
      <c r="A40" t="str">
        <f>MID(Tabla1[[#This Row],[ENLACE]],FIND("~",SUBSTITUTE(Tabla1[[#This Row],[ENLACE]],"/","~",2))+1,LEN(Tabla1[[#This Row],[ENLACE]]))</f>
        <v>perth-glory-fc</v>
      </c>
      <c r="B40" s="3" t="s">
        <v>509</v>
      </c>
      <c r="C40" t="str">
        <f>_xlfn.TEXTBEFORE(_xlfn.TEXTAFTER(Tabla1[[#This Row],[ENLACE]],"/",1),"/")</f>
        <v>australia</v>
      </c>
      <c r="D40" t="str">
        <f>Tabla1[[#This Row],[PAIS]]</f>
        <v>australia</v>
      </c>
      <c r="E40" s="8" t="str">
        <f ca="1">IF(VLOOKUP(Tabla1[[#This Row],[DIVISION]],$H$2:$I$44,2)="X","SI","NO")</f>
        <v>SI</v>
      </c>
      <c r="H40" s="9" t="str">
        <v>uruguay</v>
      </c>
      <c r="I40" s="9" t="str">
        <f t="shared" ref="I36:I44" ca="1" si="2">IF(J40&gt;TODAY(),"","X")</f>
        <v>X</v>
      </c>
      <c r="J40" s="11">
        <v>46299</v>
      </c>
      <c r="K40" s="9" t="s">
        <v>524</v>
      </c>
    </row>
    <row r="41" spans="1:11" x14ac:dyDescent="0.3">
      <c r="A41" t="str">
        <f>MID(Tabla1[[#This Row],[ENLACE]],FIND("~",SUBSTITUTE(Tabla1[[#This Row],[ENLACE]],"/","~",2))+1,LEN(Tabla1[[#This Row],[ENLACE]]))</f>
        <v>sydney-fc</v>
      </c>
      <c r="B41" s="3" t="s">
        <v>510</v>
      </c>
      <c r="C41" t="str">
        <f>_xlfn.TEXTBEFORE(_xlfn.TEXTAFTER(Tabla1[[#This Row],[ENLACE]],"/",1),"/")</f>
        <v>australia</v>
      </c>
      <c r="D41" t="str">
        <f>Tabla1[[#This Row],[PAIS]]</f>
        <v>australia</v>
      </c>
      <c r="E41" s="8" t="str">
        <f ca="1">IF(VLOOKUP(Tabla1[[#This Row],[DIVISION]],$H$2:$I$44,2)="X","SI","NO")</f>
        <v>SI</v>
      </c>
      <c r="H41" s="9" t="str">
        <v>ukraine</v>
      </c>
      <c r="I41" s="9" t="str">
        <f t="shared" ca="1" si="2"/>
        <v>X</v>
      </c>
      <c r="J41" s="11">
        <v>46299</v>
      </c>
      <c r="K41" s="9" t="s">
        <v>524</v>
      </c>
    </row>
    <row r="42" spans="1:11" x14ac:dyDescent="0.3">
      <c r="A42" t="str">
        <f>MID(Tabla1[[#This Row],[ENLACE]],FIND("~",SUBSTITUTE(Tabla1[[#This Row],[ENLACE]],"/","~",2))+1,LEN(Tabla1[[#This Row],[ENLACE]]))</f>
        <v>wellington-phoenix-fc</v>
      </c>
      <c r="B42" s="3" t="s">
        <v>511</v>
      </c>
      <c r="C42" t="str">
        <f>_xlfn.TEXTBEFORE(_xlfn.TEXTAFTER(Tabla1[[#This Row],[ENLACE]],"/",1),"/")</f>
        <v>australia</v>
      </c>
      <c r="D42" t="str">
        <f>Tabla1[[#This Row],[PAIS]]</f>
        <v>australia</v>
      </c>
      <c r="E42" s="8" t="str">
        <f ca="1">IF(VLOOKUP(Tabla1[[#This Row],[DIVISION]],$H$2:$I$44,2)="X","SI","NO")</f>
        <v>SI</v>
      </c>
      <c r="H42" s="9" t="str">
        <v>japan</v>
      </c>
      <c r="I42" s="9" t="str">
        <f ca="1">IF(J42&gt;TODAY(),"","X")</f>
        <v>X</v>
      </c>
      <c r="J42" s="11">
        <v>46300</v>
      </c>
      <c r="K42" s="9" t="s">
        <v>524</v>
      </c>
    </row>
    <row r="43" spans="1:11" x14ac:dyDescent="0.3">
      <c r="A43" t="str">
        <f>MID(Tabla1[[#This Row],[ENLACE]],FIND("~",SUBSTITUTE(Tabla1[[#This Row],[ENLACE]],"/","~",2))+1,LEN(Tabla1[[#This Row],[ENLACE]]))</f>
        <v>western-sydney-wanderers-fc</v>
      </c>
      <c r="B43" s="3" t="s">
        <v>512</v>
      </c>
      <c r="C43" t="str">
        <f>_xlfn.TEXTBEFORE(_xlfn.TEXTAFTER(Tabla1[[#This Row],[ENLACE]],"/",1),"/")</f>
        <v>australia</v>
      </c>
      <c r="D43" t="str">
        <f>Tabla1[[#This Row],[PAIS]]</f>
        <v>australia</v>
      </c>
      <c r="E43" s="8" t="str">
        <f ca="1">IF(VLOOKUP(Tabla1[[#This Row],[DIVISION]],$H$2:$I$44,2)="X","SI","NO")</f>
        <v>SI</v>
      </c>
      <c r="H43" s="9" t="str">
        <v>south-korea</v>
      </c>
      <c r="I43" s="9" t="str">
        <f t="shared" ca="1" si="2"/>
        <v>X</v>
      </c>
      <c r="J43" s="11">
        <v>46301</v>
      </c>
      <c r="K43" s="9" t="s">
        <v>524</v>
      </c>
    </row>
    <row r="44" spans="1:11" x14ac:dyDescent="0.3">
      <c r="A44" t="str">
        <f>MID(Tabla1[[#This Row],[ENLACE]],FIND("~",SUBSTITUTE(Tabla1[[#This Row],[ENLACE]],"/","~",2))+1,LEN(Tabla1[[#This Row],[ENLACE]]))</f>
        <v>sc-austria-lustenau</v>
      </c>
      <c r="B44" s="4" t="s">
        <v>575</v>
      </c>
      <c r="C44" t="str">
        <f>_xlfn.TEXTBEFORE(_xlfn.TEXTAFTER(Tabla1[[#This Row],[ENLACE]],"/",1),"/")</f>
        <v>austria</v>
      </c>
      <c r="D44" t="str">
        <f>Tabla1[[#This Row],[PAIS]]</f>
        <v>austria</v>
      </c>
      <c r="E44" s="8" t="str">
        <f ca="1">IF(VLOOKUP(Tabla1[[#This Row],[DIVISION]],$H$2:$I$44,2)="X","SI","NO")</f>
        <v>SI</v>
      </c>
      <c r="H44" s="9" t="str">
        <v>china</v>
      </c>
      <c r="I44" s="9" t="str">
        <f t="shared" ca="1" si="2"/>
        <v>X</v>
      </c>
      <c r="J44" s="11">
        <v>46302</v>
      </c>
      <c r="K44" s="9" t="s">
        <v>524</v>
      </c>
    </row>
    <row r="45" spans="1:11" x14ac:dyDescent="0.3">
      <c r="A45" t="str">
        <f>MID(Tabla1[[#This Row],[ENLACE]],FIND("~",SUBSTITUTE(Tabla1[[#This Row],[ENLACE]],"/","~",2))+1,LEN(Tabla1[[#This Row],[ENLACE]]))</f>
        <v>rheindorf-altach</v>
      </c>
      <c r="B45" s="3" t="s">
        <v>78</v>
      </c>
      <c r="C45" t="str">
        <f>_xlfn.TEXTBEFORE(_xlfn.TEXTAFTER(Tabla1[[#This Row],[ENLACE]],"/",1),"/")</f>
        <v>austria</v>
      </c>
      <c r="D45" t="str">
        <f>Tabla1[[#This Row],[PAIS]]</f>
        <v>austria</v>
      </c>
      <c r="E45" s="8" t="str">
        <f ca="1">IF(VLOOKUP(Tabla1[[#This Row],[DIVISION]],$H$2:$I$44,2)="X","SI","NO")</f>
        <v>SI</v>
      </c>
    </row>
    <row r="46" spans="1:11" x14ac:dyDescent="0.3">
      <c r="A46" t="str">
        <f>MID(Tabla1[[#This Row],[ENLACE]],FIND("~",SUBSTITUTE(Tabla1[[#This Row],[ENLACE]],"/","~",2))+1,LEN(Tabla1[[#This Row],[ENLACE]]))</f>
        <v>austria-vienna</v>
      </c>
      <c r="B46" s="4" t="s">
        <v>79</v>
      </c>
      <c r="C46" t="str">
        <f>_xlfn.TEXTBEFORE(_xlfn.TEXTAFTER(Tabla1[[#This Row],[ENLACE]],"/",1),"/")</f>
        <v>austria</v>
      </c>
      <c r="D46" t="str">
        <f>Tabla1[[#This Row],[PAIS]]</f>
        <v>austria</v>
      </c>
      <c r="E46" s="8" t="str">
        <f ca="1">IF(VLOOKUP(Tabla1[[#This Row],[DIVISION]],$H$2:$I$44,2)="X","SI","NO")</f>
        <v>SI</v>
      </c>
    </row>
    <row r="47" spans="1:11" x14ac:dyDescent="0.3">
      <c r="A47" t="str">
        <f>MID(Tabla1[[#This Row],[ENLACE]],FIND("~",SUBSTITUTE(Tabla1[[#This Row],[ENLACE]],"/","~",2))+1,LEN(Tabla1[[#This Row],[ENLACE]]))</f>
        <v>grazer-ak</v>
      </c>
      <c r="B47" s="3" t="s">
        <v>80</v>
      </c>
      <c r="C47" t="str">
        <f>_xlfn.TEXTBEFORE(_xlfn.TEXTAFTER(Tabla1[[#This Row],[ENLACE]],"/",1),"/")</f>
        <v>austria</v>
      </c>
      <c r="D47" t="str">
        <f>Tabla1[[#This Row],[PAIS]]</f>
        <v>austria</v>
      </c>
      <c r="E47" s="8" t="str">
        <f ca="1">IF(VLOOKUP(Tabla1[[#This Row],[DIVISION]],$H$2:$I$44,2)="X","SI","NO")</f>
        <v>SI</v>
      </c>
    </row>
    <row r="48" spans="1:11" x14ac:dyDescent="0.3">
      <c r="A48" t="str">
        <f>MID(Tabla1[[#This Row],[ENLACE]],FIND("~",SUBSTITUTE(Tabla1[[#This Row],[ENLACE]],"/","~",2))+1,LEN(Tabla1[[#This Row],[ENLACE]]))</f>
        <v>tsv-hartberg</v>
      </c>
      <c r="B48" s="4" t="s">
        <v>81</v>
      </c>
      <c r="C48" t="str">
        <f>_xlfn.TEXTBEFORE(_xlfn.TEXTAFTER(Tabla1[[#This Row],[ENLACE]],"/",1),"/")</f>
        <v>austria</v>
      </c>
      <c r="D48" t="str">
        <f>Tabla1[[#This Row],[PAIS]]</f>
        <v>austria</v>
      </c>
      <c r="E48" s="8" t="str">
        <f ca="1">IF(VLOOKUP(Tabla1[[#This Row],[DIVISION]],$H$2:$I$44,2)="X","SI","NO")</f>
        <v>SI</v>
      </c>
    </row>
    <row r="49" spans="1:5" x14ac:dyDescent="0.3">
      <c r="A49" t="str">
        <f>MID(Tabla1[[#This Row],[ENLACE]],FIND("~",SUBSTITUTE(Tabla1[[#This Row],[ENLACE]],"/","~",2))+1,LEN(Tabla1[[#This Row],[ENLACE]]))</f>
        <v>lask</v>
      </c>
      <c r="B49" s="3" t="s">
        <v>82</v>
      </c>
      <c r="C49" t="str">
        <f>_xlfn.TEXTBEFORE(_xlfn.TEXTAFTER(Tabla1[[#This Row],[ENLACE]],"/",1),"/")</f>
        <v>austria</v>
      </c>
      <c r="D49" t="str">
        <f>Tabla1[[#This Row],[PAIS]]</f>
        <v>austria</v>
      </c>
      <c r="E49" s="8" t="str">
        <f ca="1">IF(VLOOKUP(Tabla1[[#This Row],[DIVISION]],$H$2:$I$44,2)="X","SI","NO")</f>
        <v>SI</v>
      </c>
    </row>
    <row r="50" spans="1:5" x14ac:dyDescent="0.3">
      <c r="A50" t="str">
        <f>MID(Tabla1[[#This Row],[ENLACE]],FIND("~",SUBSTITUTE(Tabla1[[#This Row],[ENLACE]],"/","~",2))+1,LEN(Tabla1[[#This Row],[ENLACE]]))</f>
        <v>sv-ried</v>
      </c>
      <c r="B50" s="4" t="s">
        <v>83</v>
      </c>
      <c r="C50" t="str">
        <f>_xlfn.TEXTBEFORE(_xlfn.TEXTAFTER(Tabla1[[#This Row],[ENLACE]],"/",1),"/")</f>
        <v>austria</v>
      </c>
      <c r="D50" t="str">
        <f>Tabla1[[#This Row],[PAIS]]</f>
        <v>austria</v>
      </c>
      <c r="E50" s="8" t="str">
        <f ca="1">IF(VLOOKUP(Tabla1[[#This Row],[DIVISION]],$H$2:$I$44,2)="X","SI","NO")</f>
        <v>SI</v>
      </c>
    </row>
    <row r="51" spans="1:5" x14ac:dyDescent="0.3">
      <c r="A51" t="str">
        <f>MID(Tabla1[[#This Row],[ENLACE]],FIND("~",SUBSTITUTE(Tabla1[[#This Row],[ENLACE]],"/","~",2))+1,LEN(Tabla1[[#This Row],[ENLACE]]))</f>
        <v>red-bull-salzburg</v>
      </c>
      <c r="B51" s="3" t="s">
        <v>84</v>
      </c>
      <c r="C51" t="str">
        <f>_xlfn.TEXTBEFORE(_xlfn.TEXTAFTER(Tabla1[[#This Row],[ENLACE]],"/",1),"/")</f>
        <v>austria</v>
      </c>
      <c r="D51" t="str">
        <f>Tabla1[[#This Row],[PAIS]]</f>
        <v>austria</v>
      </c>
      <c r="E51" s="8" t="str">
        <f ca="1">IF(VLOOKUP(Tabla1[[#This Row],[DIVISION]],$H$2:$I$44,2)="X","SI","NO")</f>
        <v>SI</v>
      </c>
    </row>
    <row r="52" spans="1:5" x14ac:dyDescent="0.3">
      <c r="A52" t="str">
        <f>MID(Tabla1[[#This Row],[ENLACE]],FIND("~",SUBSTITUTE(Tabla1[[#This Row],[ENLACE]],"/","~",2))+1,LEN(Tabla1[[#This Row],[ENLACE]]))</f>
        <v>rapid-vienna</v>
      </c>
      <c r="B52" s="4" t="s">
        <v>85</v>
      </c>
      <c r="C52" t="str">
        <f>_xlfn.TEXTBEFORE(_xlfn.TEXTAFTER(Tabla1[[#This Row],[ENLACE]],"/",1),"/")</f>
        <v>austria</v>
      </c>
      <c r="D52" t="str">
        <f>Tabla1[[#This Row],[PAIS]]</f>
        <v>austria</v>
      </c>
      <c r="E52" s="8" t="str">
        <f ca="1">IF(VLOOKUP(Tabla1[[#This Row],[DIVISION]],$H$2:$I$44,2)="X","SI","NO")</f>
        <v>SI</v>
      </c>
    </row>
    <row r="53" spans="1:5" x14ac:dyDescent="0.3">
      <c r="A53" t="str">
        <f>MID(Tabla1[[#This Row],[ENLACE]],FIND("~",SUBSTITUTE(Tabla1[[#This Row],[ENLACE]],"/","~",2))+1,LEN(Tabla1[[#This Row],[ENLACE]]))</f>
        <v>sturm-graz</v>
      </c>
      <c r="B53" s="3" t="s">
        <v>86</v>
      </c>
      <c r="C53" t="str">
        <f>_xlfn.TEXTBEFORE(_xlfn.TEXTAFTER(Tabla1[[#This Row],[ENLACE]],"/",1),"/")</f>
        <v>austria</v>
      </c>
      <c r="D53" t="str">
        <f>Tabla1[[#This Row],[PAIS]]</f>
        <v>austria</v>
      </c>
      <c r="E53" s="8" t="str">
        <f ca="1">IF(VLOOKUP(Tabla1[[#This Row],[DIVISION]],$H$2:$I$44,2)="X","SI","NO")</f>
        <v>SI</v>
      </c>
    </row>
    <row r="54" spans="1:5" x14ac:dyDescent="0.3">
      <c r="A54" t="str">
        <f>MID(Tabla1[[#This Row],[ENLACE]],FIND("~",SUBSTITUTE(Tabla1[[#This Row],[ENLACE]],"/","~",2))+1,LEN(Tabla1[[#This Row],[ENLACE]]))</f>
        <v>wsg-swarovski-tirol</v>
      </c>
      <c r="B54" s="4" t="s">
        <v>87</v>
      </c>
      <c r="C54" t="str">
        <f>_xlfn.TEXTBEFORE(_xlfn.TEXTAFTER(Tabla1[[#This Row],[ENLACE]],"/",1),"/")</f>
        <v>austria</v>
      </c>
      <c r="D54" t="str">
        <f>Tabla1[[#This Row],[PAIS]]</f>
        <v>austria</v>
      </c>
      <c r="E54" s="8" t="str">
        <f ca="1">IF(VLOOKUP(Tabla1[[#This Row],[DIVISION]],$H$2:$I$44,2)="X","SI","NO")</f>
        <v>SI</v>
      </c>
    </row>
    <row r="55" spans="1:5" x14ac:dyDescent="0.3">
      <c r="A55" t="str">
        <f>MID(Tabla1[[#This Row],[ENLACE]],FIND("~",SUBSTITUTE(Tabla1[[#This Row],[ENLACE]],"/","~",2))+1,LEN(Tabla1[[#This Row],[ENLACE]]))</f>
        <v>wolfsberger-ac</v>
      </c>
      <c r="B55" s="3" t="s">
        <v>88</v>
      </c>
      <c r="C55" t="str">
        <f>_xlfn.TEXTBEFORE(_xlfn.TEXTAFTER(Tabla1[[#This Row],[ENLACE]],"/",1),"/")</f>
        <v>austria</v>
      </c>
      <c r="D55" t="str">
        <f>Tabla1[[#This Row],[PAIS]]</f>
        <v>austria</v>
      </c>
      <c r="E55" s="8" t="str">
        <f ca="1">IF(VLOOKUP(Tabla1[[#This Row],[DIVISION]],$H$2:$I$44,2)="X","SI","NO")</f>
        <v>SI</v>
      </c>
    </row>
    <row r="56" spans="1:5" x14ac:dyDescent="0.3">
      <c r="A56" t="str">
        <f>MID(Tabla1[[#This Row],[ENLACE]],FIND("~",SUBSTITUTE(Tabla1[[#This Row],[ENLACE]],"/","~",2))+1,LEN(Tabla1[[#This Row],[ENLACE]]))</f>
        <v>rsc-anderlecht</v>
      </c>
      <c r="B56" s="4" t="s">
        <v>89</v>
      </c>
      <c r="C56" t="str">
        <f>_xlfn.TEXTBEFORE(_xlfn.TEXTAFTER(Tabla1[[#This Row],[ENLACE]],"/",1),"/")</f>
        <v>belgium</v>
      </c>
      <c r="D56" t="str">
        <f>Tabla1[[#This Row],[PAIS]]</f>
        <v>belgium</v>
      </c>
      <c r="E56" s="8" t="str">
        <f ca="1">IF(VLOOKUP(Tabla1[[#This Row],[DIVISION]],$H$2:$I$44,2)="X","SI","NO")</f>
        <v>SI</v>
      </c>
    </row>
    <row r="57" spans="1:5" x14ac:dyDescent="0.3">
      <c r="A57" t="str">
        <f>MID(Tabla1[[#This Row],[ENLACE]],FIND("~",SUBSTITUTE(Tabla1[[#This Row],[ENLACE]],"/","~",2))+1,LEN(Tabla1[[#This Row],[ENLACE]]))</f>
        <v>royal-antwerp-fc</v>
      </c>
      <c r="B57" s="3" t="s">
        <v>90</v>
      </c>
      <c r="C57" t="str">
        <f>_xlfn.TEXTBEFORE(_xlfn.TEXTAFTER(Tabla1[[#This Row],[ENLACE]],"/",1),"/")</f>
        <v>belgium</v>
      </c>
      <c r="D57" t="str">
        <f>Tabla1[[#This Row],[PAIS]]</f>
        <v>belgium</v>
      </c>
      <c r="E57" s="8" t="str">
        <f ca="1">IF(VLOOKUP(Tabla1[[#This Row],[DIVISION]],$H$2:$I$44,2)="X","SI","NO")</f>
        <v>SI</v>
      </c>
    </row>
    <row r="58" spans="1:5" x14ac:dyDescent="0.3">
      <c r="A58" t="str">
        <f>MID(Tabla1[[#This Row],[ENLACE]],FIND("~",SUBSTITUTE(Tabla1[[#This Row],[ENLACE]],"/","~",2))+1,LEN(Tabla1[[#This Row],[ENLACE]]))</f>
        <v>sk-beveren</v>
      </c>
      <c r="B58" s="4" t="s">
        <v>598</v>
      </c>
      <c r="C58" t="str">
        <f>_xlfn.TEXTBEFORE(_xlfn.TEXTAFTER(Tabla1[[#This Row],[ENLACE]],"/",1),"/")</f>
        <v>belgium</v>
      </c>
      <c r="D58" t="str">
        <f>Tabla1[[#This Row],[PAIS]]</f>
        <v>belgium</v>
      </c>
      <c r="E58" s="8" t="str">
        <f ca="1">IF(VLOOKUP(Tabla1[[#This Row],[DIVISION]],$H$2:$I$44,2)="X","SI","NO")</f>
        <v>SI</v>
      </c>
    </row>
    <row r="59" spans="1:5" x14ac:dyDescent="0.3">
      <c r="A59" t="str">
        <f>MID(Tabla1[[#This Row],[ENLACE]],FIND("~",SUBSTITUTE(Tabla1[[#This Row],[ENLACE]],"/","~",2))+1,LEN(Tabla1[[#This Row],[ENLACE]]))</f>
        <v>cercle-brugge-ksv</v>
      </c>
      <c r="B59" s="3" t="s">
        <v>91</v>
      </c>
      <c r="C59" t="str">
        <f>_xlfn.TEXTBEFORE(_xlfn.TEXTAFTER(Tabla1[[#This Row],[ENLACE]],"/",1),"/")</f>
        <v>belgium</v>
      </c>
      <c r="D59" t="str">
        <f>Tabla1[[#This Row],[PAIS]]</f>
        <v>belgium</v>
      </c>
      <c r="E59" s="8" t="str">
        <f ca="1">IF(VLOOKUP(Tabla1[[#This Row],[DIVISION]],$H$2:$I$44,2)="X","SI","NO")</f>
        <v>SI</v>
      </c>
    </row>
    <row r="60" spans="1:5" x14ac:dyDescent="0.3">
      <c r="A60" t="str">
        <f>MID(Tabla1[[#This Row],[ENLACE]],FIND("~",SUBSTITUTE(Tabla1[[#This Row],[ENLACE]],"/","~",2))+1,LEN(Tabla1[[#This Row],[ENLACE]]))</f>
        <v>royal-charleroi-sc</v>
      </c>
      <c r="B60" s="4" t="s">
        <v>92</v>
      </c>
      <c r="C60" t="str">
        <f>_xlfn.TEXTBEFORE(_xlfn.TEXTAFTER(Tabla1[[#This Row],[ENLACE]],"/",1),"/")</f>
        <v>belgium</v>
      </c>
      <c r="D60" t="str">
        <f>Tabla1[[#This Row],[PAIS]]</f>
        <v>belgium</v>
      </c>
      <c r="E60" s="8" t="str">
        <f ca="1">IF(VLOOKUP(Tabla1[[#This Row],[DIVISION]],$H$2:$I$44,2)="X","SI","NO")</f>
        <v>SI</v>
      </c>
    </row>
    <row r="61" spans="1:5" x14ac:dyDescent="0.3">
      <c r="A61" t="str">
        <f>MID(Tabla1[[#This Row],[ENLACE]],FIND("~",SUBSTITUTE(Tabla1[[#This Row],[ENLACE]],"/","~",2))+1,LEN(Tabla1[[#This Row],[ENLACE]]))</f>
        <v>club-brugge-kv</v>
      </c>
      <c r="B61" s="3" t="s">
        <v>93</v>
      </c>
      <c r="C61" t="str">
        <f>_xlfn.TEXTBEFORE(_xlfn.TEXTAFTER(Tabla1[[#This Row],[ENLACE]],"/",1),"/")</f>
        <v>belgium</v>
      </c>
      <c r="D61" t="str">
        <f>Tabla1[[#This Row],[PAIS]]</f>
        <v>belgium</v>
      </c>
      <c r="E61" s="8" t="str">
        <f ca="1">IF(VLOOKUP(Tabla1[[#This Row],[DIVISION]],$H$2:$I$44,2)="X","SI","NO")</f>
        <v>SI</v>
      </c>
    </row>
    <row r="62" spans="1:5" x14ac:dyDescent="0.3">
      <c r="A62" t="str">
        <f>MID(Tabla1[[#This Row],[ENLACE]],FIND("~",SUBSTITUTE(Tabla1[[#This Row],[ENLACE]],"/","~",2))+1,LEN(Tabla1[[#This Row],[ENLACE]]))</f>
        <v>krc-genk</v>
      </c>
      <c r="B62" s="4" t="s">
        <v>94</v>
      </c>
      <c r="C62" t="str">
        <f>_xlfn.TEXTBEFORE(_xlfn.TEXTAFTER(Tabla1[[#This Row],[ENLACE]],"/",1),"/")</f>
        <v>belgium</v>
      </c>
      <c r="D62" t="str">
        <f>Tabla1[[#This Row],[PAIS]]</f>
        <v>belgium</v>
      </c>
      <c r="E62" s="8" t="str">
        <f ca="1">IF(VLOOKUP(Tabla1[[#This Row],[DIVISION]],$H$2:$I$44,2)="X","SI","NO")</f>
        <v>SI</v>
      </c>
    </row>
    <row r="63" spans="1:5" x14ac:dyDescent="0.3">
      <c r="A63" t="str">
        <f>MID(Tabla1[[#This Row],[ENLACE]],FIND("~",SUBSTITUTE(Tabla1[[#This Row],[ENLACE]],"/","~",2))+1,LEN(Tabla1[[#This Row],[ENLACE]]))</f>
        <v>kaa-gent</v>
      </c>
      <c r="B63" s="3" t="s">
        <v>95</v>
      </c>
      <c r="C63" t="str">
        <f>_xlfn.TEXTBEFORE(_xlfn.TEXTAFTER(Tabla1[[#This Row],[ENLACE]],"/",1),"/")</f>
        <v>belgium</v>
      </c>
      <c r="D63" t="str">
        <f>Tabla1[[#This Row],[PAIS]]</f>
        <v>belgium</v>
      </c>
      <c r="E63" s="8" t="str">
        <f ca="1">IF(VLOOKUP(Tabla1[[#This Row],[DIVISION]],$H$2:$I$44,2)="X","SI","NO")</f>
        <v>SI</v>
      </c>
    </row>
    <row r="64" spans="1:5" x14ac:dyDescent="0.3">
      <c r="A64" t="str">
        <f>MID(Tabla1[[#This Row],[ENLACE]],FIND("~",SUBSTITUTE(Tabla1[[#This Row],[ENLACE]],"/","~",2))+1,LEN(Tabla1[[#This Row],[ENLACE]]))</f>
        <v>kv-kortrijk</v>
      </c>
      <c r="B64" s="4" t="s">
        <v>599</v>
      </c>
      <c r="C64" t="str">
        <f>_xlfn.TEXTBEFORE(_xlfn.TEXTAFTER(Tabla1[[#This Row],[ENLACE]],"/",1),"/")</f>
        <v>belgium</v>
      </c>
      <c r="D64" t="str">
        <f>Tabla1[[#This Row],[PAIS]]</f>
        <v>belgium</v>
      </c>
      <c r="E64" s="8" t="str">
        <f ca="1">IF(VLOOKUP(Tabla1[[#This Row],[DIVISION]],$H$2:$I$44,2)="X","SI","NO")</f>
        <v>SI</v>
      </c>
    </row>
    <row r="65" spans="1:5" x14ac:dyDescent="0.3">
      <c r="A65" t="str">
        <f>MID(Tabla1[[#This Row],[ENLACE]],FIND("~",SUBSTITUTE(Tabla1[[#This Row],[ENLACE]],"/","~",2))+1,LEN(Tabla1[[#This Row],[ENLACE]]))</f>
        <v>kv-mechelen</v>
      </c>
      <c r="B65" s="3" t="s">
        <v>96</v>
      </c>
      <c r="C65" t="str">
        <f>_xlfn.TEXTBEFORE(_xlfn.TEXTAFTER(Tabla1[[#This Row],[ENLACE]],"/",1),"/")</f>
        <v>belgium</v>
      </c>
      <c r="D65" t="str">
        <f>Tabla1[[#This Row],[PAIS]]</f>
        <v>belgium</v>
      </c>
      <c r="E65" s="8" t="str">
        <f ca="1">IF(VLOOKUP(Tabla1[[#This Row],[DIVISION]],$H$2:$I$44,2)="X","SI","NO")</f>
        <v>SI</v>
      </c>
    </row>
    <row r="66" spans="1:5" x14ac:dyDescent="0.3">
      <c r="A66" t="str">
        <f>MID(Tabla1[[#This Row],[ENLACE]],FIND("~",SUBSTITUTE(Tabla1[[#This Row],[ENLACE]],"/","~",2))+1,LEN(Tabla1[[#This Row],[ENLACE]]))</f>
        <v>oh-leuven</v>
      </c>
      <c r="B66" s="4" t="s">
        <v>97</v>
      </c>
      <c r="C66" t="str">
        <f>_xlfn.TEXTBEFORE(_xlfn.TEXTAFTER(Tabla1[[#This Row],[ENLACE]],"/",1),"/")</f>
        <v>belgium</v>
      </c>
      <c r="D66" t="str">
        <f>Tabla1[[#This Row],[PAIS]]</f>
        <v>belgium</v>
      </c>
      <c r="E66" s="8" t="str">
        <f ca="1">IF(VLOOKUP(Tabla1[[#This Row],[DIVISION]],$H$2:$I$44,2)="X","SI","NO")</f>
        <v>SI</v>
      </c>
    </row>
    <row r="67" spans="1:5" x14ac:dyDescent="0.3">
      <c r="A67" t="str">
        <f>MID(Tabla1[[#This Row],[ENLACE]],FIND("~",SUBSTITUTE(Tabla1[[#This Row],[ENLACE]],"/","~",2))+1,LEN(Tabla1[[#This Row],[ENLACE]]))</f>
        <v>lommel-sk</v>
      </c>
      <c r="B67" s="3" t="s">
        <v>600</v>
      </c>
      <c r="C67" t="str">
        <f>_xlfn.TEXTBEFORE(_xlfn.TEXTAFTER(Tabla1[[#This Row],[ENLACE]],"/",1),"/")</f>
        <v>belgium</v>
      </c>
      <c r="D67" t="str">
        <f>Tabla1[[#This Row],[PAIS]]</f>
        <v>belgium</v>
      </c>
      <c r="E67" s="8" t="str">
        <f ca="1">IF(VLOOKUP(Tabla1[[#This Row],[DIVISION]],$H$2:$I$44,2)="X","SI","NO")</f>
        <v>SI</v>
      </c>
    </row>
    <row r="68" spans="1:5" x14ac:dyDescent="0.3">
      <c r="A68" t="str">
        <f>MID(Tabla1[[#This Row],[ENLACE]],FIND("~",SUBSTITUTE(Tabla1[[#This Row],[ENLACE]],"/","~",2))+1,LEN(Tabla1[[#This Row],[ENLACE]]))</f>
        <v>raal-la-louviere</v>
      </c>
      <c r="B68" s="4" t="s">
        <v>98</v>
      </c>
      <c r="C68" t="str">
        <f>_xlfn.TEXTBEFORE(_xlfn.TEXTAFTER(Tabla1[[#This Row],[ENLACE]],"/",1),"/")</f>
        <v>belgium</v>
      </c>
      <c r="D68" t="str">
        <f>Tabla1[[#This Row],[PAIS]]</f>
        <v>belgium</v>
      </c>
      <c r="E68" s="8" t="str">
        <f ca="1">IF(VLOOKUP(Tabla1[[#This Row],[DIVISION]],$H$2:$I$44,2)="X","SI","NO")</f>
        <v>SI</v>
      </c>
    </row>
    <row r="69" spans="1:5" x14ac:dyDescent="0.3">
      <c r="A69" t="str">
        <f>MID(Tabla1[[#This Row],[ENLACE]],FIND("~",SUBSTITUTE(Tabla1[[#This Row],[ENLACE]],"/","~",2))+1,LEN(Tabla1[[#This Row],[ENLACE]]))</f>
        <v>standard-liege</v>
      </c>
      <c r="B69" s="3" t="s">
        <v>99</v>
      </c>
      <c r="C69" t="str">
        <f>_xlfn.TEXTBEFORE(_xlfn.TEXTAFTER(Tabla1[[#This Row],[ENLACE]],"/",1),"/")</f>
        <v>belgium</v>
      </c>
      <c r="D69" t="str">
        <f>Tabla1[[#This Row],[PAIS]]</f>
        <v>belgium</v>
      </c>
      <c r="E69" s="8" t="str">
        <f ca="1">IF(VLOOKUP(Tabla1[[#This Row],[DIVISION]],$H$2:$I$44,2)="X","SI","NO")</f>
        <v>SI</v>
      </c>
    </row>
    <row r="70" spans="1:5" x14ac:dyDescent="0.3">
      <c r="A70" t="str">
        <f>MID(Tabla1[[#This Row],[ENLACE]],FIND("~",SUBSTITUTE(Tabla1[[#This Row],[ENLACE]],"/","~",2))+1,LEN(Tabla1[[#This Row],[ENLACE]]))</f>
        <v>sint-truidense-vv</v>
      </c>
      <c r="B70" s="4" t="s">
        <v>100</v>
      </c>
      <c r="C70" t="str">
        <f>_xlfn.TEXTBEFORE(_xlfn.TEXTAFTER(Tabla1[[#This Row],[ENLACE]],"/",1),"/")</f>
        <v>belgium</v>
      </c>
      <c r="D70" t="str">
        <f>Tabla1[[#This Row],[PAIS]]</f>
        <v>belgium</v>
      </c>
      <c r="E70" s="8" t="str">
        <f ca="1">IF(VLOOKUP(Tabla1[[#This Row],[DIVISION]],$H$2:$I$44,2)="X","SI","NO")</f>
        <v>SI</v>
      </c>
    </row>
    <row r="71" spans="1:5" x14ac:dyDescent="0.3">
      <c r="A71" t="str">
        <f>MID(Tabla1[[#This Row],[ENLACE]],FIND("~",SUBSTITUTE(Tabla1[[#This Row],[ENLACE]],"/","~",2))+1,LEN(Tabla1[[#This Row],[ENLACE]]))</f>
        <v>ru-saint-gilloise</v>
      </c>
      <c r="B71" s="3" t="s">
        <v>101</v>
      </c>
      <c r="C71" t="str">
        <f>_xlfn.TEXTBEFORE(_xlfn.TEXTAFTER(Tabla1[[#This Row],[ENLACE]],"/",1),"/")</f>
        <v>belgium</v>
      </c>
      <c r="D71" t="str">
        <f>Tabla1[[#This Row],[PAIS]]</f>
        <v>belgium</v>
      </c>
      <c r="E71" s="8" t="str">
        <f ca="1">IF(VLOOKUP(Tabla1[[#This Row],[DIVISION]],$H$2:$I$44,2)="X","SI","NO")</f>
        <v>SI</v>
      </c>
    </row>
    <row r="72" spans="1:5" x14ac:dyDescent="0.3">
      <c r="A72" t="str">
        <f>MID(Tabla1[[#This Row],[ENLACE]],FIND("~",SUBSTITUTE(Tabla1[[#This Row],[ENLACE]],"/","~",2))+1,LEN(Tabla1[[#This Row],[ENLACE]]))</f>
        <v>sv-zulte-waregem</v>
      </c>
      <c r="B72" s="3" t="s">
        <v>731</v>
      </c>
      <c r="C72" t="str">
        <f>_xlfn.TEXTBEFORE(_xlfn.TEXTAFTER(Tabla1[[#This Row],[ENLACE]],"/",1),"/")</f>
        <v>belgium</v>
      </c>
      <c r="D72" t="str">
        <f>Tabla1[[#This Row],[PAIS]]</f>
        <v>belgium</v>
      </c>
      <c r="E72" s="8" t="str">
        <f ca="1">IF(VLOOKUP(Tabla1[[#This Row],[DIVISION]],$H$2:$I$44,2)="X","SI","NO")</f>
        <v>SI</v>
      </c>
    </row>
    <row r="73" spans="1:5" x14ac:dyDescent="0.3">
      <c r="A73" t="str">
        <f>MID(Tabla1[[#This Row],[ENLACE]],FIND("~",SUBSTITUTE(Tabla1[[#This Row],[ENLACE]],"/","~",2))+1,LEN(Tabla1[[#This Row],[ENLACE]]))</f>
        <v>kvc-westerlo</v>
      </c>
      <c r="B73" s="3" t="s">
        <v>732</v>
      </c>
      <c r="C73" t="str">
        <f>_xlfn.TEXTBEFORE(_xlfn.TEXTAFTER(Tabla1[[#This Row],[ENLACE]],"/",1),"/")</f>
        <v>belgium</v>
      </c>
      <c r="D73" t="str">
        <f>Tabla1[[#This Row],[PAIS]]</f>
        <v>belgium</v>
      </c>
      <c r="E73" s="8" t="str">
        <f ca="1">IF(VLOOKUP(Tabla1[[#This Row],[DIVISION]],$H$2:$I$44,2)="X","SI","NO")</f>
        <v>SI</v>
      </c>
    </row>
    <row r="74" spans="1:5" x14ac:dyDescent="0.3">
      <c r="A74" t="str">
        <f>MID(Tabla1[[#This Row],[ENLACE]],FIND("~",SUBSTITUTE(Tabla1[[#This Row],[ENLACE]],"/","~",2))+1,LEN(Tabla1[[#This Row],[ENLACE]]))</f>
        <v>club-athletico-paranaense</v>
      </c>
      <c r="B74" s="4" t="s">
        <v>528</v>
      </c>
      <c r="C74" t="str">
        <f>_xlfn.TEXTBEFORE(_xlfn.TEXTAFTER(Tabla1[[#This Row],[ENLACE]],"/",1),"/")</f>
        <v>brazil</v>
      </c>
      <c r="D74" t="str">
        <f>Tabla1[[#This Row],[PAIS]]</f>
        <v>brazil</v>
      </c>
      <c r="E74" s="8" t="str">
        <f ca="1">IF(VLOOKUP(Tabla1[[#This Row],[DIVISION]],$H$2:$I$44,2)="X","SI","NO")</f>
        <v>SI</v>
      </c>
    </row>
    <row r="75" spans="1:5" x14ac:dyDescent="0.3">
      <c r="A75" t="str">
        <f>MID(Tabla1[[#This Row],[ENLACE]],FIND("~",SUBSTITUTE(Tabla1[[#This Row],[ENLACE]],"/","~",2))+1,LEN(Tabla1[[#This Row],[ENLACE]]))</f>
        <v>clube-atletico-mineiro</v>
      </c>
      <c r="B75" s="3" t="s">
        <v>102</v>
      </c>
      <c r="C75" t="str">
        <f>_xlfn.TEXTBEFORE(_xlfn.TEXTAFTER(Tabla1[[#This Row],[ENLACE]],"/",1),"/")</f>
        <v>brazil</v>
      </c>
      <c r="D75" t="str">
        <f>Tabla1[[#This Row],[PAIS]]</f>
        <v>brazil</v>
      </c>
      <c r="E75" s="8" t="str">
        <f ca="1">IF(VLOOKUP(Tabla1[[#This Row],[DIVISION]],$H$2:$I$44,2)="X","SI","NO")</f>
        <v>SI</v>
      </c>
    </row>
    <row r="76" spans="1:5" x14ac:dyDescent="0.3">
      <c r="A76" t="str">
        <f>MID(Tabla1[[#This Row],[ENLACE]],FIND("~",SUBSTITUTE(Tabla1[[#This Row],[ENLACE]],"/","~",2))+1,LEN(Tabla1[[#This Row],[ENLACE]]))</f>
        <v>esporte-clube-bahia</v>
      </c>
      <c r="B76" s="4" t="s">
        <v>103</v>
      </c>
      <c r="C76" t="str">
        <f>_xlfn.TEXTBEFORE(_xlfn.TEXTAFTER(Tabla1[[#This Row],[ENLACE]],"/",1),"/")</f>
        <v>brazil</v>
      </c>
      <c r="D76" t="str">
        <f>Tabla1[[#This Row],[PAIS]]</f>
        <v>brazil</v>
      </c>
      <c r="E76" s="8" t="str">
        <f ca="1">IF(VLOOKUP(Tabla1[[#This Row],[DIVISION]],$H$2:$I$44,2)="X","SI","NO")</f>
        <v>SI</v>
      </c>
    </row>
    <row r="77" spans="1:5" x14ac:dyDescent="0.3">
      <c r="A77" t="str">
        <f>MID(Tabla1[[#This Row],[ENLACE]],FIND("~",SUBSTITUTE(Tabla1[[#This Row],[ENLACE]],"/","~",2))+1,LEN(Tabla1[[#This Row],[ENLACE]]))</f>
        <v>botafogo-de-futebol-e-regatas</v>
      </c>
      <c r="B77" s="3" t="s">
        <v>104</v>
      </c>
      <c r="C77" t="str">
        <f>_xlfn.TEXTBEFORE(_xlfn.TEXTAFTER(Tabla1[[#This Row],[ENLACE]],"/",1),"/")</f>
        <v>brazil</v>
      </c>
      <c r="D77" t="str">
        <f>Tabla1[[#This Row],[PAIS]]</f>
        <v>brazil</v>
      </c>
      <c r="E77" s="8" t="str">
        <f ca="1">IF(VLOOKUP(Tabla1[[#This Row],[DIVISION]],$H$2:$I$44,2)="X","SI","NO")</f>
        <v>SI</v>
      </c>
    </row>
    <row r="78" spans="1:5" x14ac:dyDescent="0.3">
      <c r="A78" t="str">
        <f>MID(Tabla1[[#This Row],[ENLACE]],FIND("~",SUBSTITUTE(Tabla1[[#This Row],[ENLACE]],"/","~",2))+1,LEN(Tabla1[[#This Row],[ENLACE]]))</f>
        <v>red-bull-bragantino</v>
      </c>
      <c r="B78" s="4" t="s">
        <v>105</v>
      </c>
      <c r="C78" t="str">
        <f>_xlfn.TEXTBEFORE(_xlfn.TEXTAFTER(Tabla1[[#This Row],[ENLACE]],"/",1),"/")</f>
        <v>brazil</v>
      </c>
      <c r="D78" t="str">
        <f>Tabla1[[#This Row],[PAIS]]</f>
        <v>brazil</v>
      </c>
      <c r="E78" s="8" t="str">
        <f ca="1">IF(VLOOKUP(Tabla1[[#This Row],[DIVISION]],$H$2:$I$44,2)="X","SI","NO")</f>
        <v>SI</v>
      </c>
    </row>
    <row r="79" spans="1:5" x14ac:dyDescent="0.3">
      <c r="A79" t="str">
        <f>MID(Tabla1[[#This Row],[ENLACE]],FIND("~",SUBSTITUTE(Tabla1[[#This Row],[ENLACE]],"/","~",2))+1,LEN(Tabla1[[#This Row],[ENLACE]]))</f>
        <v>associacao-chapecoense-de-futebol</v>
      </c>
      <c r="B79" s="3" t="s">
        <v>529</v>
      </c>
      <c r="C79" t="str">
        <f>_xlfn.TEXTBEFORE(_xlfn.TEXTAFTER(Tabla1[[#This Row],[ENLACE]],"/",1),"/")</f>
        <v>brazil</v>
      </c>
      <c r="D79" t="str">
        <f>Tabla1[[#This Row],[PAIS]]</f>
        <v>brazil</v>
      </c>
      <c r="E79" s="8" t="str">
        <f ca="1">IF(VLOOKUP(Tabla1[[#This Row],[DIVISION]],$H$2:$I$44,2)="X","SI","NO")</f>
        <v>SI</v>
      </c>
    </row>
    <row r="80" spans="1:5" x14ac:dyDescent="0.3">
      <c r="A80" t="str">
        <f>MID(Tabla1[[#This Row],[ENLACE]],FIND("~",SUBSTITUTE(Tabla1[[#This Row],[ENLACE]],"/","~",2))+1,LEN(Tabla1[[#This Row],[ENLACE]]))</f>
        <v>sport-club-corinthians-paulista</v>
      </c>
      <c r="B80" s="4" t="s">
        <v>106</v>
      </c>
      <c r="C80" t="str">
        <f>_xlfn.TEXTBEFORE(_xlfn.TEXTAFTER(Tabla1[[#This Row],[ENLACE]],"/",1),"/")</f>
        <v>brazil</v>
      </c>
      <c r="D80" t="str">
        <f>Tabla1[[#This Row],[PAIS]]</f>
        <v>brazil</v>
      </c>
      <c r="E80" s="8" t="str">
        <f ca="1">IF(VLOOKUP(Tabla1[[#This Row],[DIVISION]],$H$2:$I$44,2)="X","SI","NO")</f>
        <v>SI</v>
      </c>
    </row>
    <row r="81" spans="1:5" x14ac:dyDescent="0.3">
      <c r="A81" t="str">
        <f>MID(Tabla1[[#This Row],[ENLACE]],FIND("~",SUBSTITUTE(Tabla1[[#This Row],[ENLACE]],"/","~",2))+1,LEN(Tabla1[[#This Row],[ENLACE]]))</f>
        <v>coritiba-football-club</v>
      </c>
      <c r="B81" s="3" t="s">
        <v>530</v>
      </c>
      <c r="C81" t="str">
        <f>_xlfn.TEXTBEFORE(_xlfn.TEXTAFTER(Tabla1[[#This Row],[ENLACE]],"/",1),"/")</f>
        <v>brazil</v>
      </c>
      <c r="D81" t="str">
        <f>Tabla1[[#This Row],[PAIS]]</f>
        <v>brazil</v>
      </c>
      <c r="E81" s="8" t="str">
        <f ca="1">IF(VLOOKUP(Tabla1[[#This Row],[DIVISION]],$H$2:$I$44,2)="X","SI","NO")</f>
        <v>SI</v>
      </c>
    </row>
    <row r="82" spans="1:5" x14ac:dyDescent="0.3">
      <c r="A82" t="str">
        <f>MID(Tabla1[[#This Row],[ENLACE]],FIND("~",SUBSTITUTE(Tabla1[[#This Row],[ENLACE]],"/","~",2))+1,LEN(Tabla1[[#This Row],[ENLACE]]))</f>
        <v>cruzeiro-esporte-clube</v>
      </c>
      <c r="B82" s="4" t="s">
        <v>107</v>
      </c>
      <c r="C82" t="str">
        <f>_xlfn.TEXTBEFORE(_xlfn.TEXTAFTER(Tabla1[[#This Row],[ENLACE]],"/",1),"/")</f>
        <v>brazil</v>
      </c>
      <c r="D82" t="str">
        <f>Tabla1[[#This Row],[PAIS]]</f>
        <v>brazil</v>
      </c>
      <c r="E82" s="8" t="str">
        <f ca="1">IF(VLOOKUP(Tabla1[[#This Row],[DIVISION]],$H$2:$I$44,2)="X","SI","NO")</f>
        <v>SI</v>
      </c>
    </row>
    <row r="83" spans="1:5" x14ac:dyDescent="0.3">
      <c r="A83" t="str">
        <f>MID(Tabla1[[#This Row],[ENLACE]],FIND("~",SUBSTITUTE(Tabla1[[#This Row],[ENLACE]],"/","~",2))+1,LEN(Tabla1[[#This Row],[ENLACE]]))</f>
        <v>clube-de-regatas-do-flamengo</v>
      </c>
      <c r="B83" s="3" t="s">
        <v>108</v>
      </c>
      <c r="C83" t="str">
        <f>_xlfn.TEXTBEFORE(_xlfn.TEXTAFTER(Tabla1[[#This Row],[ENLACE]],"/",1),"/")</f>
        <v>brazil</v>
      </c>
      <c r="D83" t="str">
        <f>Tabla1[[#This Row],[PAIS]]</f>
        <v>brazil</v>
      </c>
      <c r="E83" s="8" t="str">
        <f ca="1">IF(VLOOKUP(Tabla1[[#This Row],[DIVISION]],$H$2:$I$44,2)="X","SI","NO")</f>
        <v>SI</v>
      </c>
    </row>
    <row r="84" spans="1:5" x14ac:dyDescent="0.3">
      <c r="A84" t="str">
        <f>MID(Tabla1[[#This Row],[ENLACE]],FIND("~",SUBSTITUTE(Tabla1[[#This Row],[ENLACE]],"/","~",2))+1,LEN(Tabla1[[#This Row],[ENLACE]]))</f>
        <v>fluminense-fc</v>
      </c>
      <c r="B84" s="4" t="s">
        <v>109</v>
      </c>
      <c r="C84" t="str">
        <f>_xlfn.TEXTBEFORE(_xlfn.TEXTAFTER(Tabla1[[#This Row],[ENLACE]],"/",1),"/")</f>
        <v>brazil</v>
      </c>
      <c r="D84" t="str">
        <f>Tabla1[[#This Row],[PAIS]]</f>
        <v>brazil</v>
      </c>
      <c r="E84" s="8" t="str">
        <f ca="1">IF(VLOOKUP(Tabla1[[#This Row],[DIVISION]],$H$2:$I$44,2)="X","SI","NO")</f>
        <v>SI</v>
      </c>
    </row>
    <row r="85" spans="1:5" x14ac:dyDescent="0.3">
      <c r="A85" t="str">
        <f>MID(Tabla1[[#This Row],[ENLACE]],FIND("~",SUBSTITUTE(Tabla1[[#This Row],[ENLACE]],"/","~",2))+1,LEN(Tabla1[[#This Row],[ENLACE]]))</f>
        <v>gremio-football-porto-alagrense</v>
      </c>
      <c r="B85" s="3" t="s">
        <v>110</v>
      </c>
      <c r="C85" t="str">
        <f>_xlfn.TEXTBEFORE(_xlfn.TEXTAFTER(Tabla1[[#This Row],[ENLACE]],"/",1),"/")</f>
        <v>brazil</v>
      </c>
      <c r="D85" t="str">
        <f>Tabla1[[#This Row],[PAIS]]</f>
        <v>brazil</v>
      </c>
      <c r="E85" s="8" t="str">
        <f ca="1">IF(VLOOKUP(Tabla1[[#This Row],[DIVISION]],$H$2:$I$44,2)="X","SI","NO")</f>
        <v>SI</v>
      </c>
    </row>
    <row r="86" spans="1:5" x14ac:dyDescent="0.3">
      <c r="A86" t="str">
        <f>MID(Tabla1[[#This Row],[ENLACE]],FIND("~",SUBSTITUTE(Tabla1[[#This Row],[ENLACE]],"/","~",2))+1,LEN(Tabla1[[#This Row],[ENLACE]]))</f>
        <v>sport-club-internacional</v>
      </c>
      <c r="B86" s="4" t="s">
        <v>111</v>
      </c>
      <c r="C86" t="str">
        <f>_xlfn.TEXTBEFORE(_xlfn.TEXTAFTER(Tabla1[[#This Row],[ENLACE]],"/",1),"/")</f>
        <v>brazil</v>
      </c>
      <c r="D86" t="str">
        <f>Tabla1[[#This Row],[PAIS]]</f>
        <v>brazil</v>
      </c>
      <c r="E86" s="8" t="str">
        <f ca="1">IF(VLOOKUP(Tabla1[[#This Row],[DIVISION]],$H$2:$I$44,2)="X","SI","NO")</f>
        <v>SI</v>
      </c>
    </row>
    <row r="87" spans="1:5" x14ac:dyDescent="0.3">
      <c r="A87" t="str">
        <f>MID(Tabla1[[#This Row],[ENLACE]],FIND("~",SUBSTITUTE(Tabla1[[#This Row],[ENLACE]],"/","~",2))+1,LEN(Tabla1[[#This Row],[ENLACE]]))</f>
        <v>mirassol-fc</v>
      </c>
      <c r="B87" s="3" t="s">
        <v>112</v>
      </c>
      <c r="C87" t="str">
        <f>_xlfn.TEXTBEFORE(_xlfn.TEXTAFTER(Tabla1[[#This Row],[ENLACE]],"/",1),"/")</f>
        <v>brazil</v>
      </c>
      <c r="D87" t="str">
        <f>Tabla1[[#This Row],[PAIS]]</f>
        <v>brazil</v>
      </c>
      <c r="E87" s="8" t="str">
        <f ca="1">IF(VLOOKUP(Tabla1[[#This Row],[DIVISION]],$H$2:$I$44,2)="X","SI","NO")</f>
        <v>SI</v>
      </c>
    </row>
    <row r="88" spans="1:5" x14ac:dyDescent="0.3">
      <c r="A88" t="str">
        <f>MID(Tabla1[[#This Row],[ENLACE]],FIND("~",SUBSTITUTE(Tabla1[[#This Row],[ENLACE]],"/","~",2))+1,LEN(Tabla1[[#This Row],[ENLACE]]))</f>
        <v>sociedade-esportiva-palmeiras</v>
      </c>
      <c r="B88" s="4" t="s">
        <v>113</v>
      </c>
      <c r="C88" t="str">
        <f>_xlfn.TEXTBEFORE(_xlfn.TEXTAFTER(Tabla1[[#This Row],[ENLACE]],"/",1),"/")</f>
        <v>brazil</v>
      </c>
      <c r="D88" t="str">
        <f>Tabla1[[#This Row],[PAIS]]</f>
        <v>brazil</v>
      </c>
      <c r="E88" s="8" t="str">
        <f ca="1">IF(VLOOKUP(Tabla1[[#This Row],[DIVISION]],$H$2:$I$44,2)="X","SI","NO")</f>
        <v>SI</v>
      </c>
    </row>
    <row r="89" spans="1:5" x14ac:dyDescent="0.3">
      <c r="A89" t="str">
        <f>MID(Tabla1[[#This Row],[ENLACE]],FIND("~",SUBSTITUTE(Tabla1[[#This Row],[ENLACE]],"/","~",2))+1,LEN(Tabla1[[#This Row],[ENLACE]]))</f>
        <v>clube-do-remo</v>
      </c>
      <c r="B89" s="3" t="s">
        <v>531</v>
      </c>
      <c r="C89" t="str">
        <f>_xlfn.TEXTBEFORE(_xlfn.TEXTAFTER(Tabla1[[#This Row],[ENLACE]],"/",1),"/")</f>
        <v>brazil</v>
      </c>
      <c r="D89" t="str">
        <f>Tabla1[[#This Row],[PAIS]]</f>
        <v>brazil</v>
      </c>
      <c r="E89" s="8" t="str">
        <f ca="1">IF(VLOOKUP(Tabla1[[#This Row],[DIVISION]],$H$2:$I$44,2)="X","SI","NO")</f>
        <v>SI</v>
      </c>
    </row>
    <row r="90" spans="1:5" x14ac:dyDescent="0.3">
      <c r="A90" t="str">
        <f>MID(Tabla1[[#This Row],[ENLACE]],FIND("~",SUBSTITUTE(Tabla1[[#This Row],[ENLACE]],"/","~",2))+1,LEN(Tabla1[[#This Row],[ENLACE]]))</f>
        <v>santos-fc</v>
      </c>
      <c r="B90" s="4" t="s">
        <v>114</v>
      </c>
      <c r="C90" t="str">
        <f>_xlfn.TEXTBEFORE(_xlfn.TEXTAFTER(Tabla1[[#This Row],[ENLACE]],"/",1),"/")</f>
        <v>brazil</v>
      </c>
      <c r="D90" t="str">
        <f>Tabla1[[#This Row],[PAIS]]</f>
        <v>brazil</v>
      </c>
      <c r="E90" s="8" t="str">
        <f ca="1">IF(VLOOKUP(Tabla1[[#This Row],[DIVISION]],$H$2:$I$44,2)="X","SI","NO")</f>
        <v>SI</v>
      </c>
    </row>
    <row r="91" spans="1:5" x14ac:dyDescent="0.3">
      <c r="A91" t="str">
        <f>MID(Tabla1[[#This Row],[ENLACE]],FIND("~",SUBSTITUTE(Tabla1[[#This Row],[ENLACE]],"/","~",2))+1,LEN(Tabla1[[#This Row],[ENLACE]]))</f>
        <v>sao-paulo-fc</v>
      </c>
      <c r="B91" s="3" t="s">
        <v>115</v>
      </c>
      <c r="C91" t="str">
        <f>_xlfn.TEXTBEFORE(_xlfn.TEXTAFTER(Tabla1[[#This Row],[ENLACE]],"/",1),"/")</f>
        <v>brazil</v>
      </c>
      <c r="D91" t="str">
        <f>Tabla1[[#This Row],[PAIS]]</f>
        <v>brazil</v>
      </c>
      <c r="E91" s="8" t="str">
        <f ca="1">IF(VLOOKUP(Tabla1[[#This Row],[DIVISION]],$H$2:$I$44,2)="X","SI","NO")</f>
        <v>SI</v>
      </c>
    </row>
    <row r="92" spans="1:5" x14ac:dyDescent="0.3">
      <c r="A92" t="str">
        <f>MID(Tabla1[[#This Row],[ENLACE]],FIND("~",SUBSTITUTE(Tabla1[[#This Row],[ENLACE]],"/","~",2))+1,LEN(Tabla1[[#This Row],[ENLACE]]))</f>
        <v>cr-vasco-da-gama</v>
      </c>
      <c r="B92" s="4" t="s">
        <v>116</v>
      </c>
      <c r="C92" t="str">
        <f>_xlfn.TEXTBEFORE(_xlfn.TEXTAFTER(Tabla1[[#This Row],[ENLACE]],"/",1),"/")</f>
        <v>brazil</v>
      </c>
      <c r="D92" t="str">
        <f>Tabla1[[#This Row],[PAIS]]</f>
        <v>brazil</v>
      </c>
      <c r="E92" s="8" t="str">
        <f ca="1">IF(VLOOKUP(Tabla1[[#This Row],[DIVISION]],$H$2:$I$44,2)="X","SI","NO")</f>
        <v>SI</v>
      </c>
    </row>
    <row r="93" spans="1:5" x14ac:dyDescent="0.3">
      <c r="A93" t="str">
        <f>MID(Tabla1[[#This Row],[ENLACE]],FIND("~",SUBSTITUTE(Tabla1[[#This Row],[ENLACE]],"/","~",2))+1,LEN(Tabla1[[#This Row],[ENLACE]]))</f>
        <v>esporte-clube-vitoria</v>
      </c>
      <c r="B93" s="3" t="s">
        <v>117</v>
      </c>
      <c r="C93" t="str">
        <f>_xlfn.TEXTBEFORE(_xlfn.TEXTAFTER(Tabla1[[#This Row],[ENLACE]],"/",1),"/")</f>
        <v>brazil</v>
      </c>
      <c r="D93" t="str">
        <f>Tabla1[[#This Row],[PAIS]]</f>
        <v>brazil</v>
      </c>
      <c r="E93" s="8" t="str">
        <f ca="1">IF(VLOOKUP(Tabla1[[#This Row],[DIVISION]],$H$2:$I$44,2)="X","SI","NO")</f>
        <v>SI</v>
      </c>
    </row>
    <row r="94" spans="1:5" x14ac:dyDescent="0.3">
      <c r="A94" t="str">
        <f>MID(Tabla1[[#This Row],[ENLACE]],FIND("~",SUBSTITUTE(Tabla1[[#This Row],[ENLACE]],"/","~",2))+1,LEN(Tabla1[[#This Row],[ENLACE]]))</f>
        <v>arda-kardzhali</v>
      </c>
      <c r="B94" s="4" t="s">
        <v>118</v>
      </c>
      <c r="C94" t="str">
        <f>_xlfn.TEXTBEFORE(_xlfn.TEXTAFTER(Tabla1[[#This Row],[ENLACE]],"/",1),"/")</f>
        <v>bulgaria</v>
      </c>
      <c r="D94" t="str">
        <f>Tabla1[[#This Row],[PAIS]]</f>
        <v>bulgaria</v>
      </c>
      <c r="E94" s="8" t="str">
        <f ca="1">IF(VLOOKUP(Tabla1[[#This Row],[DIVISION]],$H$2:$I$44,2)="X","SI","NO")</f>
        <v>SI</v>
      </c>
    </row>
    <row r="95" spans="1:5" x14ac:dyDescent="0.3">
      <c r="A95" t="str">
        <f>MID(Tabla1[[#This Row],[ENLACE]],FIND("~",SUBSTITUTE(Tabla1[[#This Row],[ENLACE]],"/","~",2))+1,LEN(Tabla1[[#This Row],[ENLACE]]))</f>
        <v>botev-plovdiv</v>
      </c>
      <c r="B95" s="3" t="s">
        <v>119</v>
      </c>
      <c r="C95" t="str">
        <f>_xlfn.TEXTBEFORE(_xlfn.TEXTAFTER(Tabla1[[#This Row],[ENLACE]],"/",1),"/")</f>
        <v>bulgaria</v>
      </c>
      <c r="D95" t="str">
        <f>Tabla1[[#This Row],[PAIS]]</f>
        <v>bulgaria</v>
      </c>
      <c r="E95" s="8" t="str">
        <f ca="1">IF(VLOOKUP(Tabla1[[#This Row],[DIVISION]],$H$2:$I$44,2)="X","SI","NO")</f>
        <v>SI</v>
      </c>
    </row>
    <row r="96" spans="1:5" x14ac:dyDescent="0.3">
      <c r="A96" t="str">
        <f>MID(Tabla1[[#This Row],[ENLACE]],FIND("~",SUBSTITUTE(Tabla1[[#This Row],[ENLACE]],"/","~",2))+1,LEN(Tabla1[[#This Row],[ENLACE]]))</f>
        <v>botev-vratsa</v>
      </c>
      <c r="B96" s="4" t="s">
        <v>120</v>
      </c>
      <c r="C96" t="str">
        <f>_xlfn.TEXTBEFORE(_xlfn.TEXTAFTER(Tabla1[[#This Row],[ENLACE]],"/",1),"/")</f>
        <v>bulgaria</v>
      </c>
      <c r="D96" t="str">
        <f>Tabla1[[#This Row],[PAIS]]</f>
        <v>bulgaria</v>
      </c>
      <c r="E96" s="8" t="str">
        <f ca="1">IF(VLOOKUP(Tabla1[[#This Row],[DIVISION]],$H$2:$I$44,2)="X","SI","NO")</f>
        <v>SI</v>
      </c>
    </row>
    <row r="97" spans="1:5" x14ac:dyDescent="0.3">
      <c r="A97" t="str">
        <f>MID(Tabla1[[#This Row],[ENLACE]],FIND("~",SUBSTITUTE(Tabla1[[#This Row],[ENLACE]],"/","~",2))+1,LEN(Tabla1[[#This Row],[ENLACE]]))</f>
        <v>cherno-more</v>
      </c>
      <c r="B97" s="3" t="s">
        <v>121</v>
      </c>
      <c r="C97" t="str">
        <f>_xlfn.TEXTBEFORE(_xlfn.TEXTAFTER(Tabla1[[#This Row],[ENLACE]],"/",1),"/")</f>
        <v>bulgaria</v>
      </c>
      <c r="D97" t="str">
        <f>Tabla1[[#This Row],[PAIS]]</f>
        <v>bulgaria</v>
      </c>
      <c r="E97" s="8" t="str">
        <f ca="1">IF(VLOOKUP(Tabla1[[#This Row],[DIVISION]],$H$2:$I$44,2)="X","SI","NO")</f>
        <v>SI</v>
      </c>
    </row>
    <row r="98" spans="1:5" x14ac:dyDescent="0.3">
      <c r="A98" t="str">
        <f>MID(Tabla1[[#This Row],[ENLACE]],FIND("~",SUBSTITUTE(Tabla1[[#This Row],[ENLACE]],"/","~",2))+1,LEN(Tabla1[[#This Row],[ENLACE]]))</f>
        <v>fc-cska-1948-sofia</v>
      </c>
      <c r="B98" s="4" t="s">
        <v>122</v>
      </c>
      <c r="C98" t="str">
        <f>_xlfn.TEXTBEFORE(_xlfn.TEXTAFTER(Tabla1[[#This Row],[ENLACE]],"/",1),"/")</f>
        <v>bulgaria</v>
      </c>
      <c r="D98" t="str">
        <f>Tabla1[[#This Row],[PAIS]]</f>
        <v>bulgaria</v>
      </c>
      <c r="E98" s="8" t="str">
        <f ca="1">IF(VLOOKUP(Tabla1[[#This Row],[DIVISION]],$H$2:$I$44,2)="X","SI","NO")</f>
        <v>SI</v>
      </c>
    </row>
    <row r="99" spans="1:5" x14ac:dyDescent="0.3">
      <c r="A99" t="str">
        <f>MID(Tabla1[[#This Row],[ENLACE]],FIND("~",SUBSTITUTE(Tabla1[[#This Row],[ENLACE]],"/","~",2))+1,LEN(Tabla1[[#This Row],[ENLACE]]))</f>
        <v>cska-sofia</v>
      </c>
      <c r="B99" s="3" t="s">
        <v>123</v>
      </c>
      <c r="C99" t="str">
        <f>_xlfn.TEXTBEFORE(_xlfn.TEXTAFTER(Tabla1[[#This Row],[ENLACE]],"/",1),"/")</f>
        <v>bulgaria</v>
      </c>
      <c r="D99" t="str">
        <f>Tabla1[[#This Row],[PAIS]]</f>
        <v>bulgaria</v>
      </c>
      <c r="E99" s="8" t="str">
        <f ca="1">IF(VLOOKUP(Tabla1[[#This Row],[DIVISION]],$H$2:$I$44,2)="X","SI","NO")</f>
        <v>SI</v>
      </c>
    </row>
    <row r="100" spans="1:5" x14ac:dyDescent="0.3">
      <c r="A100" t="str">
        <f>MID(Tabla1[[#This Row],[ENLACE]],FIND("~",SUBSTITUTE(Tabla1[[#This Row],[ENLACE]],"/","~",2))+1,LEN(Tabla1[[#This Row],[ENLACE]]))</f>
        <v>fc-dunav-ruse</v>
      </c>
      <c r="B100" s="4" t="s">
        <v>576</v>
      </c>
      <c r="C100" t="str">
        <f>_xlfn.TEXTBEFORE(_xlfn.TEXTAFTER(Tabla1[[#This Row],[ENLACE]],"/",1),"/")</f>
        <v>bulgaria</v>
      </c>
      <c r="D100" t="str">
        <f>Tabla1[[#This Row],[PAIS]]</f>
        <v>bulgaria</v>
      </c>
      <c r="E100" s="8" t="str">
        <f ca="1">IF(VLOOKUP(Tabla1[[#This Row],[DIVISION]],$H$2:$I$44,2)="X","SI","NO")</f>
        <v>SI</v>
      </c>
    </row>
    <row r="101" spans="1:5" x14ac:dyDescent="0.3">
      <c r="A101" t="str">
        <f>MID(Tabla1[[#This Row],[ENLACE]],FIND("~",SUBSTITUTE(Tabla1[[#This Row],[ENLACE]],"/","~",2))+1,LEN(Tabla1[[#This Row],[ENLACE]]))</f>
        <v>levski-sofia</v>
      </c>
      <c r="B101" s="3" t="s">
        <v>124</v>
      </c>
      <c r="C101" t="str">
        <f>_xlfn.TEXTBEFORE(_xlfn.TEXTAFTER(Tabla1[[#This Row],[ENLACE]],"/",1),"/")</f>
        <v>bulgaria</v>
      </c>
      <c r="D101" t="str">
        <f>Tabla1[[#This Row],[PAIS]]</f>
        <v>bulgaria</v>
      </c>
      <c r="E101" s="8" t="str">
        <f ca="1">IF(VLOOKUP(Tabla1[[#This Row],[DIVISION]],$H$2:$I$44,2)="X","SI","NO")</f>
        <v>SI</v>
      </c>
    </row>
    <row r="102" spans="1:5" x14ac:dyDescent="0.3">
      <c r="A102" t="str">
        <f>MID(Tabla1[[#This Row],[ENLACE]],FIND("~",SUBSTITUTE(Tabla1[[#This Row],[ENLACE]],"/","~",2))+1,LEN(Tabla1[[#This Row],[ENLACE]]))</f>
        <v>lokomotiv-plovdiv</v>
      </c>
      <c r="B102" s="4" t="s">
        <v>125</v>
      </c>
      <c r="C102" t="str">
        <f>_xlfn.TEXTBEFORE(_xlfn.TEXTAFTER(Tabla1[[#This Row],[ENLACE]],"/",1),"/")</f>
        <v>bulgaria</v>
      </c>
      <c r="D102" t="str">
        <f>Tabla1[[#This Row],[PAIS]]</f>
        <v>bulgaria</v>
      </c>
      <c r="E102" s="8" t="str">
        <f ca="1">IF(VLOOKUP(Tabla1[[#This Row],[DIVISION]],$H$2:$I$44,2)="X","SI","NO")</f>
        <v>SI</v>
      </c>
    </row>
    <row r="103" spans="1:5" x14ac:dyDescent="0.3">
      <c r="A103" t="str">
        <f>MID(Tabla1[[#This Row],[ENLACE]],FIND("~",SUBSTITUTE(Tabla1[[#This Row],[ENLACE]],"/","~",2))+1,LEN(Tabla1[[#This Row],[ENLACE]]))</f>
        <v>fc-lokomotiv-1929-sofia</v>
      </c>
      <c r="B103" s="3" t="s">
        <v>126</v>
      </c>
      <c r="C103" t="str">
        <f>_xlfn.TEXTBEFORE(_xlfn.TEXTAFTER(Tabla1[[#This Row],[ENLACE]],"/",1),"/")</f>
        <v>bulgaria</v>
      </c>
      <c r="D103" t="str">
        <f>Tabla1[[#This Row],[PAIS]]</f>
        <v>bulgaria</v>
      </c>
      <c r="E103" s="8" t="str">
        <f ca="1">IF(VLOOKUP(Tabla1[[#This Row],[DIVISION]],$H$2:$I$44,2)="X","SI","NO")</f>
        <v>SI</v>
      </c>
    </row>
    <row r="104" spans="1:5" x14ac:dyDescent="0.3">
      <c r="A104" t="str">
        <f>MID(Tabla1[[#This Row],[ENLACE]],FIND("~",SUBSTITUTE(Tabla1[[#This Row],[ENLACE]],"/","~",2))+1,LEN(Tabla1[[#This Row],[ENLACE]]))</f>
        <v>ludogorets</v>
      </c>
      <c r="B104" s="4" t="s">
        <v>127</v>
      </c>
      <c r="C104" t="str">
        <f>_xlfn.TEXTBEFORE(_xlfn.TEXTAFTER(Tabla1[[#This Row],[ENLACE]],"/",1),"/")</f>
        <v>bulgaria</v>
      </c>
      <c r="D104" t="str">
        <f>Tabla1[[#This Row],[PAIS]]</f>
        <v>bulgaria</v>
      </c>
      <c r="E104" s="8" t="str">
        <f ca="1">IF(VLOOKUP(Tabla1[[#This Row],[DIVISION]],$H$2:$I$44,2)="X","SI","NO")</f>
        <v>SI</v>
      </c>
    </row>
    <row r="105" spans="1:5" x14ac:dyDescent="0.3">
      <c r="A105" t="str">
        <f>MID(Tabla1[[#This Row],[ENLACE]],FIND("~",SUBSTITUTE(Tabla1[[#This Row],[ENLACE]],"/","~",2))+1,LEN(Tabla1[[#This Row],[ENLACE]]))</f>
        <v>pfc-septemvri-sofia</v>
      </c>
      <c r="B105" s="3" t="s">
        <v>128</v>
      </c>
      <c r="C105" t="str">
        <f>_xlfn.TEXTBEFORE(_xlfn.TEXTAFTER(Tabla1[[#This Row],[ENLACE]],"/",1),"/")</f>
        <v>bulgaria</v>
      </c>
      <c r="D105" t="str">
        <f>Tabla1[[#This Row],[PAIS]]</f>
        <v>bulgaria</v>
      </c>
      <c r="E105" s="8" t="str">
        <f ca="1">IF(VLOOKUP(Tabla1[[#This Row],[DIVISION]],$H$2:$I$44,2)="X","SI","NO")</f>
        <v>SI</v>
      </c>
    </row>
    <row r="106" spans="1:5" x14ac:dyDescent="0.3">
      <c r="A106" t="str">
        <f>MID(Tabla1[[#This Row],[ENLACE]],FIND("~",SUBSTITUTE(Tabla1[[#This Row],[ENLACE]],"/","~",2))+1,LEN(Tabla1[[#This Row],[ENLACE]]))</f>
        <v>slavia-sofia</v>
      </c>
      <c r="B106" s="4" t="s">
        <v>129</v>
      </c>
      <c r="C106" t="str">
        <f>_xlfn.TEXTBEFORE(_xlfn.TEXTAFTER(Tabla1[[#This Row],[ENLACE]],"/",1),"/")</f>
        <v>bulgaria</v>
      </c>
      <c r="D106" t="str">
        <f>Tabla1[[#This Row],[PAIS]]</f>
        <v>bulgaria</v>
      </c>
      <c r="E106" s="8" t="str">
        <f ca="1">IF(VLOOKUP(Tabla1[[#This Row],[DIVISION]],$H$2:$I$44,2)="X","SI","NO")</f>
        <v>SI</v>
      </c>
    </row>
    <row r="107" spans="1:5" x14ac:dyDescent="0.3">
      <c r="A107" t="str">
        <f>MID(Tabla1[[#This Row],[ENLACE]],FIND("~",SUBSTITUTE(Tabla1[[#This Row],[ENLACE]],"/","~",2))+1,LEN(Tabla1[[#This Row],[ENLACE]]))</f>
        <v>fc-spartak-varna</v>
      </c>
      <c r="B107" s="3" t="s">
        <v>130</v>
      </c>
      <c r="C107" t="str">
        <f>_xlfn.TEXTBEFORE(_xlfn.TEXTAFTER(Tabla1[[#This Row],[ENLACE]],"/",1),"/")</f>
        <v>bulgaria</v>
      </c>
      <c r="D107" t="str">
        <f>Tabla1[[#This Row],[PAIS]]</f>
        <v>bulgaria</v>
      </c>
      <c r="E107" s="8" t="str">
        <f ca="1">IF(VLOOKUP(Tabla1[[#This Row],[DIVISION]],$H$2:$I$44,2)="X","SI","NO")</f>
        <v>SI</v>
      </c>
    </row>
    <row r="108" spans="1:5" x14ac:dyDescent="0.3">
      <c r="A108" t="str">
        <f>MID(Tabla1[[#This Row],[ENLACE]],FIND("~",SUBSTITUTE(Tabla1[[#This Row],[ENLACE]],"/","~",2))+1,LEN(Tabla1[[#This Row],[ENLACE]]))</f>
        <v>audax-italiano</v>
      </c>
      <c r="B108" s="4" t="s">
        <v>168</v>
      </c>
      <c r="C108" t="str">
        <f>_xlfn.TEXTBEFORE(_xlfn.TEXTAFTER(Tabla1[[#This Row],[ENLACE]],"/",1),"/")</f>
        <v>chile</v>
      </c>
      <c r="D108" t="str">
        <f>Tabla1[[#This Row],[PAIS]]</f>
        <v>chile</v>
      </c>
      <c r="E108" s="8" t="str">
        <f ca="1">IF(VLOOKUP(Tabla1[[#This Row],[DIVISION]],$H$2:$I$44,2)="X","SI","NO")</f>
        <v>SI</v>
      </c>
    </row>
    <row r="109" spans="1:5" x14ac:dyDescent="0.3">
      <c r="A109" t="str">
        <f>MID(Tabla1[[#This Row],[ENLACE]],FIND("~",SUBSTITUTE(Tabla1[[#This Row],[ENLACE]],"/","~",2))+1,LEN(Tabla1[[#This Row],[ENLACE]]))</f>
        <v>cd-cobresal</v>
      </c>
      <c r="B109" s="3" t="s">
        <v>169</v>
      </c>
      <c r="C109" t="str">
        <f>_xlfn.TEXTBEFORE(_xlfn.TEXTAFTER(Tabla1[[#This Row],[ENLACE]],"/",1),"/")</f>
        <v>chile</v>
      </c>
      <c r="D109" t="str">
        <f>Tabla1[[#This Row],[PAIS]]</f>
        <v>chile</v>
      </c>
      <c r="E109" s="8" t="str">
        <f ca="1">IF(VLOOKUP(Tabla1[[#This Row],[DIVISION]],$H$2:$I$44,2)="X","SI","NO")</f>
        <v>SI</v>
      </c>
    </row>
    <row r="110" spans="1:5" x14ac:dyDescent="0.3">
      <c r="A110" t="str">
        <f>MID(Tabla1[[#This Row],[ENLACE]],FIND("~",SUBSTITUTE(Tabla1[[#This Row],[ENLACE]],"/","~",2))+1,LEN(Tabla1[[#This Row],[ENLACE]]))</f>
        <v>colo-colo</v>
      </c>
      <c r="B110" s="4" t="s">
        <v>170</v>
      </c>
      <c r="C110" t="str">
        <f>_xlfn.TEXTBEFORE(_xlfn.TEXTAFTER(Tabla1[[#This Row],[ENLACE]],"/",1),"/")</f>
        <v>chile</v>
      </c>
      <c r="D110" t="str">
        <f>Tabla1[[#This Row],[PAIS]]</f>
        <v>chile</v>
      </c>
      <c r="E110" s="8" t="str">
        <f ca="1">IF(VLOOKUP(Tabla1[[#This Row],[DIVISION]],$H$2:$I$44,2)="X","SI","NO")</f>
        <v>SI</v>
      </c>
    </row>
    <row r="111" spans="1:5" x14ac:dyDescent="0.3">
      <c r="A111" t="str">
        <f>MID(Tabla1[[#This Row],[ENLACE]],FIND("~",SUBSTITUTE(Tabla1[[#This Row],[ENLACE]],"/","~",2))+1,LEN(Tabla1[[#This Row],[ENLACE]]))</f>
        <v>coquimbo-unido</v>
      </c>
      <c r="B111" s="3" t="s">
        <v>171</v>
      </c>
      <c r="C111" t="str">
        <f>_xlfn.TEXTBEFORE(_xlfn.TEXTAFTER(Tabla1[[#This Row],[ENLACE]],"/",1),"/")</f>
        <v>chile</v>
      </c>
      <c r="D111" t="str">
        <f>Tabla1[[#This Row],[PAIS]]</f>
        <v>chile</v>
      </c>
      <c r="E111" s="8" t="str">
        <f ca="1">IF(VLOOKUP(Tabla1[[#This Row],[DIVISION]],$H$2:$I$44,2)="X","SI","NO")</f>
        <v>SI</v>
      </c>
    </row>
    <row r="112" spans="1:5" x14ac:dyDescent="0.3">
      <c r="A112" t="str">
        <f>MID(Tabla1[[#This Row],[ENLACE]],FIND("~",SUBSTITUTE(Tabla1[[#This Row],[ENLACE]],"/","~",2))+1,LEN(Tabla1[[#This Row],[ENLACE]]))</f>
        <v>deportes-concepcion</v>
      </c>
      <c r="B112" s="4" t="s">
        <v>532</v>
      </c>
      <c r="C112" t="str">
        <f>_xlfn.TEXTBEFORE(_xlfn.TEXTAFTER(Tabla1[[#This Row],[ENLACE]],"/",1),"/")</f>
        <v>chile</v>
      </c>
      <c r="D112" t="str">
        <f>Tabla1[[#This Row],[PAIS]]</f>
        <v>chile</v>
      </c>
      <c r="E112" s="8" t="str">
        <f ca="1">IF(VLOOKUP(Tabla1[[#This Row],[DIVISION]],$H$2:$I$44,2)="X","SI","NO")</f>
        <v>SI</v>
      </c>
    </row>
    <row r="113" spans="1:5" x14ac:dyDescent="0.3">
      <c r="A113" t="str">
        <f>MID(Tabla1[[#This Row],[ENLACE]],FIND("~",SUBSTITUTE(Tabla1[[#This Row],[ENLACE]],"/","~",2))+1,LEN(Tabla1[[#This Row],[ENLACE]]))</f>
        <v>everton-de-vina-del-mar</v>
      </c>
      <c r="B113" s="3" t="s">
        <v>172</v>
      </c>
      <c r="C113" t="str">
        <f>_xlfn.TEXTBEFORE(_xlfn.TEXTAFTER(Tabla1[[#This Row],[ENLACE]],"/",1),"/")</f>
        <v>chile</v>
      </c>
      <c r="D113" t="str">
        <f>Tabla1[[#This Row],[PAIS]]</f>
        <v>chile</v>
      </c>
      <c r="E113" s="8" t="str">
        <f ca="1">IF(VLOOKUP(Tabla1[[#This Row],[DIVISION]],$H$2:$I$44,2)="X","SI","NO")</f>
        <v>SI</v>
      </c>
    </row>
    <row r="114" spans="1:5" x14ac:dyDescent="0.3">
      <c r="A114" t="str">
        <f>MID(Tabla1[[#This Row],[ENLACE]],FIND("~",SUBSTITUTE(Tabla1[[#This Row],[ENLACE]],"/","~",2))+1,LEN(Tabla1[[#This Row],[ENLACE]]))</f>
        <v>cd-huachipato</v>
      </c>
      <c r="B114" s="4" t="s">
        <v>173</v>
      </c>
      <c r="C114" t="str">
        <f>_xlfn.TEXTBEFORE(_xlfn.TEXTAFTER(Tabla1[[#This Row],[ENLACE]],"/",1),"/")</f>
        <v>chile</v>
      </c>
      <c r="D114" t="str">
        <f>Tabla1[[#This Row],[PAIS]]</f>
        <v>chile</v>
      </c>
      <c r="E114" s="8" t="str">
        <f ca="1">IF(VLOOKUP(Tabla1[[#This Row],[DIVISION]],$H$2:$I$44,2)="X","SI","NO")</f>
        <v>SI</v>
      </c>
    </row>
    <row r="115" spans="1:5" x14ac:dyDescent="0.3">
      <c r="A115" t="str">
        <f>MID(Tabla1[[#This Row],[ENLACE]],FIND("~",SUBSTITUTE(Tabla1[[#This Row],[ENLACE]],"/","~",2))+1,LEN(Tabla1[[#This Row],[ENLACE]]))</f>
        <v>deportes-la-serena</v>
      </c>
      <c r="B115" s="3" t="s">
        <v>174</v>
      </c>
      <c r="C115" t="str">
        <f>_xlfn.TEXTBEFORE(_xlfn.TEXTAFTER(Tabla1[[#This Row],[ENLACE]],"/",1),"/")</f>
        <v>chile</v>
      </c>
      <c r="D115" t="str">
        <f>Tabla1[[#This Row],[PAIS]]</f>
        <v>chile</v>
      </c>
      <c r="E115" s="8" t="str">
        <f ca="1">IF(VLOOKUP(Tabla1[[#This Row],[DIVISION]],$H$2:$I$44,2)="X","SI","NO")</f>
        <v>SI</v>
      </c>
    </row>
    <row r="116" spans="1:5" x14ac:dyDescent="0.3">
      <c r="A116" t="str">
        <f>MID(Tabla1[[#This Row],[ENLACE]],FIND("~",SUBSTITUTE(Tabla1[[#This Row],[ENLACE]],"/","~",2))+1,LEN(Tabla1[[#This Row],[ENLACE]]))</f>
        <v>deportes-limache</v>
      </c>
      <c r="B116" s="4" t="s">
        <v>175</v>
      </c>
      <c r="C116" t="str">
        <f>_xlfn.TEXTBEFORE(_xlfn.TEXTAFTER(Tabla1[[#This Row],[ENLACE]],"/",1),"/")</f>
        <v>chile</v>
      </c>
      <c r="D116" t="str">
        <f>Tabla1[[#This Row],[PAIS]]</f>
        <v>chile</v>
      </c>
      <c r="E116" s="8" t="str">
        <f ca="1">IF(VLOOKUP(Tabla1[[#This Row],[DIVISION]],$H$2:$I$44,2)="X","SI","NO")</f>
        <v>SI</v>
      </c>
    </row>
    <row r="117" spans="1:5" x14ac:dyDescent="0.3">
      <c r="A117" t="str">
        <f>MID(Tabla1[[#This Row],[ENLACE]],FIND("~",SUBSTITUTE(Tabla1[[#This Row],[ENLACE]],"/","~",2))+1,LEN(Tabla1[[#This Row],[ENLACE]]))</f>
        <v>deportivo-nublense</v>
      </c>
      <c r="B117" s="3" t="s">
        <v>176</v>
      </c>
      <c r="C117" t="str">
        <f>_xlfn.TEXTBEFORE(_xlfn.TEXTAFTER(Tabla1[[#This Row],[ENLACE]],"/",1),"/")</f>
        <v>chile</v>
      </c>
      <c r="D117" t="str">
        <f>Tabla1[[#This Row],[PAIS]]</f>
        <v>chile</v>
      </c>
      <c r="E117" s="8" t="str">
        <f ca="1">IF(VLOOKUP(Tabla1[[#This Row],[DIVISION]],$H$2:$I$44,2)="X","SI","NO")</f>
        <v>SI</v>
      </c>
    </row>
    <row r="118" spans="1:5" x14ac:dyDescent="0.3">
      <c r="A118" t="str">
        <f>MID(Tabla1[[#This Row],[ENLACE]],FIND("~",SUBSTITUTE(Tabla1[[#This Row],[ENLACE]],"/","~",2))+1,LEN(Tabla1[[#This Row],[ENLACE]]))</f>
        <v>o-higgins-fc</v>
      </c>
      <c r="B118" s="4" t="s">
        <v>177</v>
      </c>
      <c r="C118" t="str">
        <f>_xlfn.TEXTBEFORE(_xlfn.TEXTAFTER(Tabla1[[#This Row],[ENLACE]],"/",1),"/")</f>
        <v>chile</v>
      </c>
      <c r="D118" t="str">
        <f>Tabla1[[#This Row],[PAIS]]</f>
        <v>chile</v>
      </c>
      <c r="E118" s="8" t="str">
        <f ca="1">IF(VLOOKUP(Tabla1[[#This Row],[DIVISION]],$H$2:$I$44,2)="X","SI","NO")</f>
        <v>SI</v>
      </c>
    </row>
    <row r="119" spans="1:5" x14ac:dyDescent="0.3">
      <c r="A119" t="str">
        <f>MID(Tabla1[[#This Row],[ENLACE]],FIND("~",SUBSTITUTE(Tabla1[[#This Row],[ENLACE]],"/","~",2))+1,LEN(Tabla1[[#This Row],[ENLACE]]))</f>
        <v>cd-palestino</v>
      </c>
      <c r="B119" s="3" t="s">
        <v>178</v>
      </c>
      <c r="C119" t="str">
        <f>_xlfn.TEXTBEFORE(_xlfn.TEXTAFTER(Tabla1[[#This Row],[ENLACE]],"/",1),"/")</f>
        <v>chile</v>
      </c>
      <c r="D119" t="str">
        <f>Tabla1[[#This Row],[PAIS]]</f>
        <v>chile</v>
      </c>
      <c r="E119" s="8" t="str">
        <f ca="1">IF(VLOOKUP(Tabla1[[#This Row],[DIVISION]],$H$2:$I$44,2)="X","SI","NO")</f>
        <v>SI</v>
      </c>
    </row>
    <row r="120" spans="1:5" x14ac:dyDescent="0.3">
      <c r="A120" t="str">
        <f>MID(Tabla1[[#This Row],[ENLACE]],FIND("~",SUBSTITUTE(Tabla1[[#This Row],[ENLACE]],"/","~",2))+1,LEN(Tabla1[[#This Row],[ENLACE]]))</f>
        <v>union-la-calera</v>
      </c>
      <c r="B120" s="4" t="s">
        <v>179</v>
      </c>
      <c r="C120" t="str">
        <f>_xlfn.TEXTBEFORE(_xlfn.TEXTAFTER(Tabla1[[#This Row],[ENLACE]],"/",1),"/")</f>
        <v>chile</v>
      </c>
      <c r="D120" t="str">
        <f>Tabla1[[#This Row],[PAIS]]</f>
        <v>chile</v>
      </c>
      <c r="E120" s="8" t="str">
        <f ca="1">IF(VLOOKUP(Tabla1[[#This Row],[DIVISION]],$H$2:$I$44,2)="X","SI","NO")</f>
        <v>SI</v>
      </c>
    </row>
    <row r="121" spans="1:5" x14ac:dyDescent="0.3">
      <c r="A121" t="str">
        <f>MID(Tabla1[[#This Row],[ENLACE]],FIND("~",SUBSTITUTE(Tabla1[[#This Row],[ENLACE]],"/","~",2))+1,LEN(Tabla1[[#This Row],[ENLACE]]))</f>
        <v>cd-universidad-catolica</v>
      </c>
      <c r="B121" s="3" t="s">
        <v>180</v>
      </c>
      <c r="C121" t="str">
        <f>_xlfn.TEXTBEFORE(_xlfn.TEXTAFTER(Tabla1[[#This Row],[ENLACE]],"/",1),"/")</f>
        <v>chile</v>
      </c>
      <c r="D121" t="str">
        <f>Tabla1[[#This Row],[PAIS]]</f>
        <v>chile</v>
      </c>
      <c r="E121" s="8" t="str">
        <f ca="1">IF(VLOOKUP(Tabla1[[#This Row],[DIVISION]],$H$2:$I$44,2)="X","SI","NO")</f>
        <v>SI</v>
      </c>
    </row>
    <row r="122" spans="1:5" x14ac:dyDescent="0.3">
      <c r="A122" t="str">
        <f>MID(Tabla1[[#This Row],[ENLACE]],FIND("~",SUBSTITUTE(Tabla1[[#This Row],[ENLACE]],"/","~",2))+1,LEN(Tabla1[[#This Row],[ENLACE]]))</f>
        <v>club-universidad-de-chile</v>
      </c>
      <c r="B122" s="4" t="s">
        <v>181</v>
      </c>
      <c r="C122" t="str">
        <f>_xlfn.TEXTBEFORE(_xlfn.TEXTAFTER(Tabla1[[#This Row],[ENLACE]],"/",1),"/")</f>
        <v>chile</v>
      </c>
      <c r="D122" t="str">
        <f>Tabla1[[#This Row],[PAIS]]</f>
        <v>chile</v>
      </c>
      <c r="E122" s="8" t="str">
        <f ca="1">IF(VLOOKUP(Tabla1[[#This Row],[DIVISION]],$H$2:$I$44,2)="X","SI","NO")</f>
        <v>SI</v>
      </c>
    </row>
    <row r="123" spans="1:5" x14ac:dyDescent="0.3">
      <c r="A123" t="str">
        <f>MID(Tabla1[[#This Row],[ENLACE]],FIND("~",SUBSTITUTE(Tabla1[[#This Row],[ENLACE]],"/","~",2))+1,LEN(Tabla1[[#This Row],[ENLACE]]))</f>
        <v>cd-universidad-de-concepcion</v>
      </c>
      <c r="B123" s="3" t="s">
        <v>533</v>
      </c>
      <c r="C123" t="str">
        <f>_xlfn.TEXTBEFORE(_xlfn.TEXTAFTER(Tabla1[[#This Row],[ENLACE]],"/",1),"/")</f>
        <v>chile</v>
      </c>
      <c r="D123" t="str">
        <f>Tabla1[[#This Row],[PAIS]]</f>
        <v>chile</v>
      </c>
      <c r="E123" s="8" t="str">
        <f ca="1">IF(VLOOKUP(Tabla1[[#This Row],[DIVISION]],$H$2:$I$44,2)="X","SI","NO")</f>
        <v>SI</v>
      </c>
    </row>
    <row r="124" spans="1:5" x14ac:dyDescent="0.3">
      <c r="A124" t="str">
        <f>MID(Tabla1[[#This Row],[ENLACE]],FIND("~",SUBSTITUTE(Tabla1[[#This Row],[ENLACE]],"/","~",2))+1,LEN(Tabla1[[#This Row],[ENLACE]]))</f>
        <v>rionegro-aguilas</v>
      </c>
      <c r="B124" s="3" t="s">
        <v>3</v>
      </c>
      <c r="C124" t="str">
        <f>_xlfn.TEXTBEFORE(_xlfn.TEXTAFTER(Tabla1[[#This Row],[ENLACE]],"/",1),"/")</f>
        <v>colombia</v>
      </c>
      <c r="D124" t="str">
        <f>Tabla1[[#This Row],[PAIS]]</f>
        <v>colombia</v>
      </c>
      <c r="E124" s="8" t="str">
        <f ca="1">IF(VLOOKUP(Tabla1[[#This Row],[DIVISION]],$H$2:$I$44,2)="X","SI","NO")</f>
        <v>SI</v>
      </c>
    </row>
    <row r="125" spans="1:5" x14ac:dyDescent="0.3">
      <c r="A125" t="str">
        <f>MID(Tabla1[[#This Row],[ENLACE]],FIND("~",SUBSTITUTE(Tabla1[[#This Row],[ENLACE]],"/","~",2))+1,LEN(Tabla1[[#This Row],[ENLACE]]))</f>
        <v>alianza-fc</v>
      </c>
      <c r="B125" s="3" t="s">
        <v>4</v>
      </c>
      <c r="C125" t="str">
        <f>_xlfn.TEXTBEFORE(_xlfn.TEXTAFTER(Tabla1[[#This Row],[ENLACE]],"/",1),"/")</f>
        <v>colombia</v>
      </c>
      <c r="D125" t="str">
        <f>Tabla1[[#This Row],[PAIS]]</f>
        <v>colombia</v>
      </c>
      <c r="E125" s="8" t="str">
        <f ca="1">IF(VLOOKUP(Tabla1[[#This Row],[DIVISION]],$H$2:$I$44,2)="X","SI","NO")</f>
        <v>SI</v>
      </c>
    </row>
    <row r="126" spans="1:5" x14ac:dyDescent="0.3">
      <c r="A126" t="str">
        <f>MID(Tabla1[[#This Row],[ENLACE]],FIND("~",SUBSTITUTE(Tabla1[[#This Row],[ENLACE]],"/","~",2))+1,LEN(Tabla1[[#This Row],[ENLACE]]))</f>
        <v>america-de-cali</v>
      </c>
      <c r="B126" s="3" t="s">
        <v>5</v>
      </c>
      <c r="C126" t="str">
        <f>_xlfn.TEXTBEFORE(_xlfn.TEXTAFTER(Tabla1[[#This Row],[ENLACE]],"/",1),"/")</f>
        <v>colombia</v>
      </c>
      <c r="D126" t="str">
        <f>Tabla1[[#This Row],[PAIS]]</f>
        <v>colombia</v>
      </c>
      <c r="E126" s="8" t="str">
        <f ca="1">IF(VLOOKUP(Tabla1[[#This Row],[DIVISION]],$H$2:$I$44,2)="X","SI","NO")</f>
        <v>SI</v>
      </c>
    </row>
    <row r="127" spans="1:5" x14ac:dyDescent="0.3">
      <c r="A127" t="str">
        <f>MID(Tabla1[[#This Row],[ENLACE]],FIND("~",SUBSTITUTE(Tabla1[[#This Row],[ENLACE]],"/","~",2))+1,LEN(Tabla1[[#This Row],[ENLACE]]))</f>
        <v>atletico-nacional</v>
      </c>
      <c r="B127" s="3" t="s">
        <v>6</v>
      </c>
      <c r="C127" t="str">
        <f>_xlfn.TEXTBEFORE(_xlfn.TEXTAFTER(Tabla1[[#This Row],[ENLACE]],"/",1),"/")</f>
        <v>colombia</v>
      </c>
      <c r="D127" t="str">
        <f>Tabla1[[#This Row],[PAIS]]</f>
        <v>colombia</v>
      </c>
      <c r="E127" s="8" t="str">
        <f ca="1">IF(VLOOKUP(Tabla1[[#This Row],[DIVISION]],$H$2:$I$44,2)="X","SI","NO")</f>
        <v>SI</v>
      </c>
    </row>
    <row r="128" spans="1:5" x14ac:dyDescent="0.3">
      <c r="A128" t="str">
        <f>MID(Tabla1[[#This Row],[ENLACE]],FIND("~",SUBSTITUTE(Tabla1[[#This Row],[ENLACE]],"/","~",2))+1,LEN(Tabla1[[#This Row],[ENLACE]]))</f>
        <v>atletico-bucaramanga</v>
      </c>
      <c r="B128" s="3" t="s">
        <v>7</v>
      </c>
      <c r="C128" t="str">
        <f>_xlfn.TEXTBEFORE(_xlfn.TEXTAFTER(Tabla1[[#This Row],[ENLACE]],"/",1),"/")</f>
        <v>colombia</v>
      </c>
      <c r="D128" t="str">
        <f>Tabla1[[#This Row],[PAIS]]</f>
        <v>colombia</v>
      </c>
      <c r="E128" s="8" t="str">
        <f ca="1">IF(VLOOKUP(Tabla1[[#This Row],[DIVISION]],$H$2:$I$44,2)="X","SI","NO")</f>
        <v>SI</v>
      </c>
    </row>
    <row r="129" spans="1:5" x14ac:dyDescent="0.3">
      <c r="A129" t="str">
        <f>MID(Tabla1[[#This Row],[ENLACE]],FIND("~",SUBSTITUTE(Tabla1[[#This Row],[ENLACE]],"/","~",2))+1,LEN(Tabla1[[#This Row],[ENLACE]]))</f>
        <v>boyaca-chico-fc</v>
      </c>
      <c r="B129" s="3" t="s">
        <v>8</v>
      </c>
      <c r="C129" t="str">
        <f>_xlfn.TEXTBEFORE(_xlfn.TEXTAFTER(Tabla1[[#This Row],[ENLACE]],"/",1),"/")</f>
        <v>colombia</v>
      </c>
      <c r="D129" t="str">
        <f>Tabla1[[#This Row],[PAIS]]</f>
        <v>colombia</v>
      </c>
      <c r="E129" s="8" t="str">
        <f ca="1">IF(VLOOKUP(Tabla1[[#This Row],[DIVISION]],$H$2:$I$44,2)="X","SI","NO")</f>
        <v>SI</v>
      </c>
    </row>
    <row r="130" spans="1:5" x14ac:dyDescent="0.3">
      <c r="A130" t="str">
        <f>MID(Tabla1[[#This Row],[ENLACE]],FIND("~",SUBSTITUTE(Tabla1[[#This Row],[ENLACE]],"/","~",2))+1,LEN(Tabla1[[#This Row],[ENLACE]]))</f>
        <v>cucuta-deportivo-fc</v>
      </c>
      <c r="B130" s="3" t="s">
        <v>525</v>
      </c>
      <c r="C130" t="str">
        <f>_xlfn.TEXTBEFORE(_xlfn.TEXTAFTER(Tabla1[[#This Row],[ENLACE]],"/",1),"/")</f>
        <v>colombia</v>
      </c>
      <c r="D130" t="str">
        <f>Tabla1[[#This Row],[PAIS]]</f>
        <v>colombia</v>
      </c>
      <c r="E130" s="8" t="str">
        <f ca="1">IF(VLOOKUP(Tabla1[[#This Row],[DIVISION]],$H$2:$I$44,2)="X","SI","NO")</f>
        <v>SI</v>
      </c>
    </row>
    <row r="131" spans="1:5" x14ac:dyDescent="0.3">
      <c r="A131" t="str">
        <f>MID(Tabla1[[#This Row],[ENLACE]],FIND("~",SUBSTITUTE(Tabla1[[#This Row],[ENLACE]],"/","~",2))+1,LEN(Tabla1[[#This Row],[ENLACE]]))</f>
        <v>deportivo-cali</v>
      </c>
      <c r="B131" s="3" t="s">
        <v>9</v>
      </c>
      <c r="C131" t="str">
        <f>_xlfn.TEXTBEFORE(_xlfn.TEXTAFTER(Tabla1[[#This Row],[ENLACE]],"/",1),"/")</f>
        <v>colombia</v>
      </c>
      <c r="D131" t="str">
        <f>Tabla1[[#This Row],[PAIS]]</f>
        <v>colombia</v>
      </c>
      <c r="E131" s="8" t="str">
        <f ca="1">IF(VLOOKUP(Tabla1[[#This Row],[DIVISION]],$H$2:$I$44,2)="X","SI","NO")</f>
        <v>SI</v>
      </c>
    </row>
    <row r="132" spans="1:5" x14ac:dyDescent="0.3">
      <c r="A132" t="str">
        <f>MID(Tabla1[[#This Row],[ENLACE]],FIND("~",SUBSTITUTE(Tabla1[[#This Row],[ENLACE]],"/","~",2))+1,LEN(Tabla1[[#This Row],[ENLACE]]))</f>
        <v>fortaleza-ceif</v>
      </c>
      <c r="B132" s="3" t="s">
        <v>10</v>
      </c>
      <c r="C132" t="str">
        <f>_xlfn.TEXTBEFORE(_xlfn.TEXTAFTER(Tabla1[[#This Row],[ENLACE]],"/",1),"/")</f>
        <v>colombia</v>
      </c>
      <c r="D132" t="str">
        <f>Tabla1[[#This Row],[PAIS]]</f>
        <v>colombia</v>
      </c>
      <c r="E132" s="8" t="str">
        <f ca="1">IF(VLOOKUP(Tabla1[[#This Row],[DIVISION]],$H$2:$I$44,2)="X","SI","NO")</f>
        <v>SI</v>
      </c>
    </row>
    <row r="133" spans="1:5" x14ac:dyDescent="0.3">
      <c r="A133" t="str">
        <f>MID(Tabla1[[#This Row],[ENLACE]],FIND("~",SUBSTITUTE(Tabla1[[#This Row],[ENLACE]],"/","~",2))+1,LEN(Tabla1[[#This Row],[ENLACE]]))</f>
        <v>deportivo-independiente-medellin</v>
      </c>
      <c r="B133" s="3" t="s">
        <v>11</v>
      </c>
      <c r="C133" t="str">
        <f>_xlfn.TEXTBEFORE(_xlfn.TEXTAFTER(Tabla1[[#This Row],[ENLACE]],"/",1),"/")</f>
        <v>colombia</v>
      </c>
      <c r="D133" t="str">
        <f>Tabla1[[#This Row],[PAIS]]</f>
        <v>colombia</v>
      </c>
      <c r="E133" s="8" t="str">
        <f ca="1">IF(VLOOKUP(Tabla1[[#This Row],[DIVISION]],$H$2:$I$44,2)="X","SI","NO")</f>
        <v>SI</v>
      </c>
    </row>
    <row r="134" spans="1:5" x14ac:dyDescent="0.3">
      <c r="A134" t="str">
        <f>MID(Tabla1[[#This Row],[ENLACE]],FIND("~",SUBSTITUTE(Tabla1[[#This Row],[ENLACE]],"/","~",2))+1,LEN(Tabla1[[#This Row],[ENLACE]]))</f>
        <v>internacional-de-bogota</v>
      </c>
      <c r="B134" s="3" t="s">
        <v>526</v>
      </c>
      <c r="C134" t="str">
        <f>_xlfn.TEXTBEFORE(_xlfn.TEXTAFTER(Tabla1[[#This Row],[ENLACE]],"/",1),"/")</f>
        <v>colombia</v>
      </c>
      <c r="D134" t="str">
        <f>Tabla1[[#This Row],[PAIS]]</f>
        <v>colombia</v>
      </c>
      <c r="E134" s="8" t="str">
        <f ca="1">IF(VLOOKUP(Tabla1[[#This Row],[DIVISION]],$H$2:$I$44,2)="X","SI","NO")</f>
        <v>SI</v>
      </c>
    </row>
    <row r="135" spans="1:5" x14ac:dyDescent="0.3">
      <c r="A135" t="str">
        <f>MID(Tabla1[[#This Row],[ENLACE]],FIND("~",SUBSTITUTE(Tabla1[[#This Row],[ENLACE]],"/","~",2))+1,LEN(Tabla1[[#This Row],[ENLACE]]))</f>
        <v>jaguares-de-cordoba</v>
      </c>
      <c r="B135" s="3" t="s">
        <v>527</v>
      </c>
      <c r="C135" t="str">
        <f>_xlfn.TEXTBEFORE(_xlfn.TEXTAFTER(Tabla1[[#This Row],[ENLACE]],"/",1),"/")</f>
        <v>colombia</v>
      </c>
      <c r="D135" t="str">
        <f>Tabla1[[#This Row],[PAIS]]</f>
        <v>colombia</v>
      </c>
      <c r="E135" s="8" t="str">
        <f ca="1">IF(VLOOKUP(Tabla1[[#This Row],[DIVISION]],$H$2:$I$44,2)="X","SI","NO")</f>
        <v>SI</v>
      </c>
    </row>
    <row r="136" spans="1:5" x14ac:dyDescent="0.3">
      <c r="A136" t="str">
        <f>MID(Tabla1[[#This Row],[ENLACE]],FIND("~",SUBSTITUTE(Tabla1[[#This Row],[ENLACE]],"/","~",2))+1,LEN(Tabla1[[#This Row],[ENLACE]]))</f>
        <v>atletico-junior</v>
      </c>
      <c r="B136" s="3" t="s">
        <v>12</v>
      </c>
      <c r="C136" t="str">
        <f>_xlfn.TEXTBEFORE(_xlfn.TEXTAFTER(Tabla1[[#This Row],[ENLACE]],"/",1),"/")</f>
        <v>colombia</v>
      </c>
      <c r="D136" t="str">
        <f>Tabla1[[#This Row],[PAIS]]</f>
        <v>colombia</v>
      </c>
      <c r="E136" s="8" t="str">
        <f ca="1">IF(VLOOKUP(Tabla1[[#This Row],[DIVISION]],$H$2:$I$44,2)="X","SI","NO")</f>
        <v>SI</v>
      </c>
    </row>
    <row r="137" spans="1:5" x14ac:dyDescent="0.3">
      <c r="A137" t="str">
        <f>MID(Tabla1[[#This Row],[ENLACE]],FIND("~",SUBSTITUTE(Tabla1[[#This Row],[ENLACE]],"/","~",2))+1,LEN(Tabla1[[#This Row],[ENLACE]]))</f>
        <v>llaneros-fc</v>
      </c>
      <c r="B137" s="3" t="s">
        <v>13</v>
      </c>
      <c r="C137" t="str">
        <f>_xlfn.TEXTBEFORE(_xlfn.TEXTAFTER(Tabla1[[#This Row],[ENLACE]],"/",1),"/")</f>
        <v>colombia</v>
      </c>
      <c r="D137" t="str">
        <f>Tabla1[[#This Row],[PAIS]]</f>
        <v>colombia</v>
      </c>
      <c r="E137" s="8" t="str">
        <f ca="1">IF(VLOOKUP(Tabla1[[#This Row],[DIVISION]],$H$2:$I$44,2)="X","SI","NO")</f>
        <v>SI</v>
      </c>
    </row>
    <row r="138" spans="1:5" x14ac:dyDescent="0.3">
      <c r="A138" t="str">
        <f>MID(Tabla1[[#This Row],[ENLACE]],FIND("~",SUBSTITUTE(Tabla1[[#This Row],[ENLACE]],"/","~",2))+1,LEN(Tabla1[[#This Row],[ENLACE]]))</f>
        <v>millonarios-fc</v>
      </c>
      <c r="B138" s="3" t="s">
        <v>14</v>
      </c>
      <c r="C138" t="str">
        <f>_xlfn.TEXTBEFORE(_xlfn.TEXTAFTER(Tabla1[[#This Row],[ENLACE]],"/",1),"/")</f>
        <v>colombia</v>
      </c>
      <c r="D138" t="str">
        <f>Tabla1[[#This Row],[PAIS]]</f>
        <v>colombia</v>
      </c>
      <c r="E138" s="8" t="str">
        <f ca="1">IF(VLOOKUP(Tabla1[[#This Row],[DIVISION]],$H$2:$I$44,2)="X","SI","NO")</f>
        <v>SI</v>
      </c>
    </row>
    <row r="139" spans="1:5" x14ac:dyDescent="0.3">
      <c r="A139" t="str">
        <f>MID(Tabla1[[#This Row],[ENLACE]],FIND("~",SUBSTITUTE(Tabla1[[#This Row],[ENLACE]],"/","~",2))+1,LEN(Tabla1[[#This Row],[ENLACE]]))</f>
        <v>once-caldas</v>
      </c>
      <c r="B139" s="3" t="s">
        <v>15</v>
      </c>
      <c r="C139" t="str">
        <f>_xlfn.TEXTBEFORE(_xlfn.TEXTAFTER(Tabla1[[#This Row],[ENLACE]],"/",1),"/")</f>
        <v>colombia</v>
      </c>
      <c r="D139" t="str">
        <f>Tabla1[[#This Row],[PAIS]]</f>
        <v>colombia</v>
      </c>
      <c r="E139" s="8" t="str">
        <f ca="1">IF(VLOOKUP(Tabla1[[#This Row],[DIVISION]],$H$2:$I$44,2)="X","SI","NO")</f>
        <v>SI</v>
      </c>
    </row>
    <row r="140" spans="1:5" x14ac:dyDescent="0.3">
      <c r="A140" t="str">
        <f>MID(Tabla1[[#This Row],[ENLACE]],FIND("~",SUBSTITUTE(Tabla1[[#This Row],[ENLACE]],"/","~",2))+1,LEN(Tabla1[[#This Row],[ENLACE]]))</f>
        <v>deportivo-pasto</v>
      </c>
      <c r="B140" s="3" t="s">
        <v>16</v>
      </c>
      <c r="C140" t="str">
        <f>_xlfn.TEXTBEFORE(_xlfn.TEXTAFTER(Tabla1[[#This Row],[ENLACE]],"/",1),"/")</f>
        <v>colombia</v>
      </c>
      <c r="D140" t="str">
        <f>Tabla1[[#This Row],[PAIS]]</f>
        <v>colombia</v>
      </c>
      <c r="E140" s="8" t="str">
        <f ca="1">IF(VLOOKUP(Tabla1[[#This Row],[DIVISION]],$H$2:$I$44,2)="X","SI","NO")</f>
        <v>SI</v>
      </c>
    </row>
    <row r="141" spans="1:5" x14ac:dyDescent="0.3">
      <c r="A141" t="str">
        <f>MID(Tabla1[[#This Row],[ENLACE]],FIND("~",SUBSTITUTE(Tabla1[[#This Row],[ENLACE]],"/","~",2))+1,LEN(Tabla1[[#This Row],[ENLACE]]))</f>
        <v>deportivo-pereira</v>
      </c>
      <c r="B141" s="3" t="s">
        <v>17</v>
      </c>
      <c r="C141" t="str">
        <f>_xlfn.TEXTBEFORE(_xlfn.TEXTAFTER(Tabla1[[#This Row],[ENLACE]],"/",1),"/")</f>
        <v>colombia</v>
      </c>
      <c r="D141" t="str">
        <f>Tabla1[[#This Row],[PAIS]]</f>
        <v>colombia</v>
      </c>
      <c r="E141" s="8" t="str">
        <f ca="1">IF(VLOOKUP(Tabla1[[#This Row],[DIVISION]],$H$2:$I$44,2)="X","SI","NO")</f>
        <v>SI</v>
      </c>
    </row>
    <row r="142" spans="1:5" x14ac:dyDescent="0.3">
      <c r="A142" t="str">
        <f>MID(Tabla1[[#This Row],[ENLACE]],FIND("~",SUBSTITUTE(Tabla1[[#This Row],[ENLACE]],"/","~",2))+1,LEN(Tabla1[[#This Row],[ENLACE]]))</f>
        <v>independiente-santa-fe</v>
      </c>
      <c r="B142" s="3" t="s">
        <v>18</v>
      </c>
      <c r="C142" t="str">
        <f>_xlfn.TEXTBEFORE(_xlfn.TEXTAFTER(Tabla1[[#This Row],[ENLACE]],"/",1),"/")</f>
        <v>colombia</v>
      </c>
      <c r="D142" t="str">
        <f>Tabla1[[#This Row],[PAIS]]</f>
        <v>colombia</v>
      </c>
      <c r="E142" s="8" t="str">
        <f ca="1">IF(VLOOKUP(Tabla1[[#This Row],[DIVISION]],$H$2:$I$44,2)="X","SI","NO")</f>
        <v>SI</v>
      </c>
    </row>
    <row r="143" spans="1:5" x14ac:dyDescent="0.3">
      <c r="A143" t="str">
        <f>MID(Tabla1[[#This Row],[ENLACE]],FIND("~",SUBSTITUTE(Tabla1[[#This Row],[ENLACE]],"/","~",2))+1,LEN(Tabla1[[#This Row],[ENLACE]]))</f>
        <v>deportes-tolima</v>
      </c>
      <c r="B143" s="3" t="s">
        <v>19</v>
      </c>
      <c r="C143" t="str">
        <f>_xlfn.TEXTBEFORE(_xlfn.TEXTAFTER(Tabla1[[#This Row],[ENLACE]],"/",1),"/")</f>
        <v>colombia</v>
      </c>
      <c r="D143" t="str">
        <f>Tabla1[[#This Row],[PAIS]]</f>
        <v>colombia</v>
      </c>
      <c r="E143" s="8" t="str">
        <f ca="1">IF(VLOOKUP(Tabla1[[#This Row],[DIVISION]],$H$2:$I$44,2)="X","SI","NO")</f>
        <v>SI</v>
      </c>
    </row>
    <row r="144" spans="1:5" x14ac:dyDescent="0.3">
      <c r="A144" t="str">
        <f>MID(Tabla1[[#This Row],[ENLACE]],FIND("~",SUBSTITUTE(Tabla1[[#This Row],[ENLACE]],"/","~",2))+1,LEN(Tabla1[[#This Row],[ENLACE]]))</f>
        <v>dinamo-zagreb</v>
      </c>
      <c r="B144" s="4" t="s">
        <v>159</v>
      </c>
      <c r="C144" t="str">
        <f>_xlfn.TEXTBEFORE(_xlfn.TEXTAFTER(Tabla1[[#This Row],[ENLACE]],"/",1),"/")</f>
        <v>croatia</v>
      </c>
      <c r="D144" t="str">
        <f>Tabla1[[#This Row],[PAIS]]</f>
        <v>croatia</v>
      </c>
      <c r="E144" s="8" t="str">
        <f ca="1">IF(VLOOKUP(Tabla1[[#This Row],[DIVISION]],$H$2:$I$44,2)="X","SI","NO")</f>
        <v>SI</v>
      </c>
    </row>
    <row r="145" spans="1:5" x14ac:dyDescent="0.3">
      <c r="A145" t="str">
        <f>MID(Tabla1[[#This Row],[ENLACE]],FIND("~",SUBSTITUTE(Tabla1[[#This Row],[ENLACE]],"/","~",2))+1,LEN(Tabla1[[#This Row],[ENLACE]]))</f>
        <v>gorica</v>
      </c>
      <c r="B145" s="3" t="s">
        <v>160</v>
      </c>
      <c r="C145" t="str">
        <f>_xlfn.TEXTBEFORE(_xlfn.TEXTAFTER(Tabla1[[#This Row],[ENLACE]],"/",1),"/")</f>
        <v>croatia</v>
      </c>
      <c r="D145" t="str">
        <f>Tabla1[[#This Row],[PAIS]]</f>
        <v>croatia</v>
      </c>
      <c r="E145" s="8" t="str">
        <f ca="1">IF(VLOOKUP(Tabla1[[#This Row],[DIVISION]],$H$2:$I$44,2)="X","SI","NO")</f>
        <v>SI</v>
      </c>
    </row>
    <row r="146" spans="1:5" x14ac:dyDescent="0.3">
      <c r="A146" t="str">
        <f>MID(Tabla1[[#This Row],[ENLACE]],FIND("~",SUBSTITUTE(Tabla1[[#This Row],[ENLACE]],"/","~",2))+1,LEN(Tabla1[[#This Row],[ENLACE]]))</f>
        <v>hajduk-split</v>
      </c>
      <c r="B146" s="4" t="s">
        <v>161</v>
      </c>
      <c r="C146" t="str">
        <f>_xlfn.TEXTBEFORE(_xlfn.TEXTAFTER(Tabla1[[#This Row],[ENLACE]],"/",1),"/")</f>
        <v>croatia</v>
      </c>
      <c r="D146" t="str">
        <f>Tabla1[[#This Row],[PAIS]]</f>
        <v>croatia</v>
      </c>
      <c r="E146" s="8" t="str">
        <f ca="1">IF(VLOOKUP(Tabla1[[#This Row],[DIVISION]],$H$2:$I$44,2)="X","SI","NO")</f>
        <v>SI</v>
      </c>
    </row>
    <row r="147" spans="1:5" x14ac:dyDescent="0.3">
      <c r="A147" t="str">
        <f>MID(Tabla1[[#This Row],[ENLACE]],FIND("~",SUBSTITUTE(Tabla1[[#This Row],[ENLACE]],"/","~",2))+1,LEN(Tabla1[[#This Row],[ENLACE]]))</f>
        <v>istra-1961</v>
      </c>
      <c r="B147" s="3" t="s">
        <v>162</v>
      </c>
      <c r="C147" t="str">
        <f>_xlfn.TEXTBEFORE(_xlfn.TEXTAFTER(Tabla1[[#This Row],[ENLACE]],"/",1),"/")</f>
        <v>croatia</v>
      </c>
      <c r="D147" t="str">
        <f>Tabla1[[#This Row],[PAIS]]</f>
        <v>croatia</v>
      </c>
      <c r="E147" s="8" t="str">
        <f ca="1">IF(VLOOKUP(Tabla1[[#This Row],[DIVISION]],$H$2:$I$44,2)="X","SI","NO")</f>
        <v>SI</v>
      </c>
    </row>
    <row r="148" spans="1:5" x14ac:dyDescent="0.3">
      <c r="A148" t="str">
        <f>MID(Tabla1[[#This Row],[ENLACE]],FIND("~",SUBSTITUTE(Tabla1[[#This Row],[ENLACE]],"/","~",2))+1,LEN(Tabla1[[#This Row],[ENLACE]]))</f>
        <v>lokomotiva-zagreb</v>
      </c>
      <c r="B148" s="4" t="s">
        <v>163</v>
      </c>
      <c r="C148" t="str">
        <f>_xlfn.TEXTBEFORE(_xlfn.TEXTAFTER(Tabla1[[#This Row],[ENLACE]],"/",1),"/")</f>
        <v>croatia</v>
      </c>
      <c r="D148" t="str">
        <f>Tabla1[[#This Row],[PAIS]]</f>
        <v>croatia</v>
      </c>
      <c r="E148" s="8" t="str">
        <f ca="1">IF(VLOOKUP(Tabla1[[#This Row],[DIVISION]],$H$2:$I$44,2)="X","SI","NO")</f>
        <v>SI</v>
      </c>
    </row>
    <row r="149" spans="1:5" x14ac:dyDescent="0.3">
      <c r="A149" t="str">
        <f>MID(Tabla1[[#This Row],[ENLACE]],FIND("~",SUBSTITUTE(Tabla1[[#This Row],[ENLACE]],"/","~",2))+1,LEN(Tabla1[[#This Row],[ENLACE]]))</f>
        <v>osijek</v>
      </c>
      <c r="B149" s="3" t="s">
        <v>164</v>
      </c>
      <c r="C149" t="str">
        <f>_xlfn.TEXTBEFORE(_xlfn.TEXTAFTER(Tabla1[[#This Row],[ENLACE]],"/",1),"/")</f>
        <v>croatia</v>
      </c>
      <c r="D149" t="str">
        <f>Tabla1[[#This Row],[PAIS]]</f>
        <v>croatia</v>
      </c>
      <c r="E149" s="8" t="str">
        <f ca="1">IF(VLOOKUP(Tabla1[[#This Row],[DIVISION]],$H$2:$I$44,2)="X","SI","NO")</f>
        <v>SI</v>
      </c>
    </row>
    <row r="150" spans="1:5" x14ac:dyDescent="0.3">
      <c r="A150" t="str">
        <f>MID(Tabla1[[#This Row],[ENLACE]],FIND("~",SUBSTITUTE(Tabla1[[#This Row],[ENLACE]],"/","~",2))+1,LEN(Tabla1[[#This Row],[ENLACE]]))</f>
        <v>rijeka</v>
      </c>
      <c r="B150" s="4" t="s">
        <v>165</v>
      </c>
      <c r="C150" t="str">
        <f>_xlfn.TEXTBEFORE(_xlfn.TEXTAFTER(Tabla1[[#This Row],[ENLACE]],"/",1),"/")</f>
        <v>croatia</v>
      </c>
      <c r="D150" t="str">
        <f>Tabla1[[#This Row],[PAIS]]</f>
        <v>croatia</v>
      </c>
      <c r="E150" s="8" t="str">
        <f ca="1">IF(VLOOKUP(Tabla1[[#This Row],[DIVISION]],$H$2:$I$44,2)="X","SI","NO")</f>
        <v>SI</v>
      </c>
    </row>
    <row r="151" spans="1:5" x14ac:dyDescent="0.3">
      <c r="A151" t="str">
        <f>MID(Tabla1[[#This Row],[ENLACE]],FIND("~",SUBSTITUTE(Tabla1[[#This Row],[ENLACE]],"/","~",2))+1,LEN(Tabla1[[#This Row],[ENLACE]]))</f>
        <v>nk-rudes</v>
      </c>
      <c r="B151" s="3" t="s">
        <v>577</v>
      </c>
      <c r="C151" t="str">
        <f>_xlfn.TEXTBEFORE(_xlfn.TEXTAFTER(Tabla1[[#This Row],[ENLACE]],"/",1),"/")</f>
        <v>croatia</v>
      </c>
      <c r="D151" t="str">
        <f>Tabla1[[#This Row],[PAIS]]</f>
        <v>croatia</v>
      </c>
      <c r="E151" s="8" t="str">
        <f ca="1">IF(VLOOKUP(Tabla1[[#This Row],[DIVISION]],$H$2:$I$44,2)="X","SI","NO")</f>
        <v>SI</v>
      </c>
    </row>
    <row r="152" spans="1:5" x14ac:dyDescent="0.3">
      <c r="A152" t="str">
        <f>MID(Tabla1[[#This Row],[ENLACE]],FIND("~",SUBSTITUTE(Tabla1[[#This Row],[ENLACE]],"/","~",2))+1,LEN(Tabla1[[#This Row],[ENLACE]]))</f>
        <v>slaven-belupo</v>
      </c>
      <c r="B152" s="4" t="s">
        <v>166</v>
      </c>
      <c r="C152" t="str">
        <f>_xlfn.TEXTBEFORE(_xlfn.TEXTAFTER(Tabla1[[#This Row],[ENLACE]],"/",1),"/")</f>
        <v>croatia</v>
      </c>
      <c r="D152" t="str">
        <f>Tabla1[[#This Row],[PAIS]]</f>
        <v>croatia</v>
      </c>
      <c r="E152" s="8" t="str">
        <f ca="1">IF(VLOOKUP(Tabla1[[#This Row],[DIVISION]],$H$2:$I$44,2)="X","SI","NO")</f>
        <v>SI</v>
      </c>
    </row>
    <row r="153" spans="1:5" x14ac:dyDescent="0.3">
      <c r="A153" t="str">
        <f>MID(Tabla1[[#This Row],[ENLACE]],FIND("~",SUBSTITUTE(Tabla1[[#This Row],[ENLACE]],"/","~",2))+1,LEN(Tabla1[[#This Row],[ENLACE]]))</f>
        <v>varazdin</v>
      </c>
      <c r="B153" s="3" t="s">
        <v>167</v>
      </c>
      <c r="C153" t="str">
        <f>_xlfn.TEXTBEFORE(_xlfn.TEXTAFTER(Tabla1[[#This Row],[ENLACE]],"/",1),"/")</f>
        <v>croatia</v>
      </c>
      <c r="D153" t="str">
        <f>Tabla1[[#This Row],[PAIS]]</f>
        <v>croatia</v>
      </c>
      <c r="E153" s="8" t="str">
        <f ca="1">IF(VLOOKUP(Tabla1[[#This Row],[DIVISION]],$H$2:$I$44,2)="X","SI","NO")</f>
        <v>SI</v>
      </c>
    </row>
    <row r="154" spans="1:5" x14ac:dyDescent="0.3">
      <c r="A154" t="str">
        <f>MID(Tabla1[[#This Row],[ENLACE]],FIND("~",SUBSTITUTE(Tabla1[[#This Row],[ENLACE]],"/","~",2))+1,LEN(Tabla1[[#This Row],[ENLACE]]))</f>
        <v>sk-artis-brno</v>
      </c>
      <c r="B154" s="4" t="s">
        <v>578</v>
      </c>
      <c r="C154" t="str">
        <f>_xlfn.TEXTBEFORE(_xlfn.TEXTAFTER(Tabla1[[#This Row],[ENLACE]],"/",1),"/")</f>
        <v>czech-republic</v>
      </c>
      <c r="D154" t="str">
        <f>Tabla1[[#This Row],[PAIS]]</f>
        <v>czech-republic</v>
      </c>
      <c r="E154" s="8" t="str">
        <f ca="1">IF(VLOOKUP(Tabla1[[#This Row],[DIVISION]],$H$2:$I$44,2)="X","SI","NO")</f>
        <v>SI</v>
      </c>
    </row>
    <row r="155" spans="1:5" x14ac:dyDescent="0.3">
      <c r="A155" t="str">
        <f>MID(Tabla1[[#This Row],[ENLACE]],FIND("~",SUBSTITUTE(Tabla1[[#This Row],[ENLACE]],"/","~",2))+1,LEN(Tabla1[[#This Row],[ENLACE]]))</f>
        <v>bohemians-1905</v>
      </c>
      <c r="B155" s="3" t="s">
        <v>182</v>
      </c>
      <c r="C155" t="str">
        <f>_xlfn.TEXTBEFORE(_xlfn.TEXTAFTER(Tabla1[[#This Row],[ENLACE]],"/",1),"/")</f>
        <v>czech-republic</v>
      </c>
      <c r="D155" t="str">
        <f>Tabla1[[#This Row],[PAIS]]</f>
        <v>czech-republic</v>
      </c>
      <c r="E155" s="8" t="str">
        <f ca="1">IF(VLOOKUP(Tabla1[[#This Row],[DIVISION]],$H$2:$I$44,2)="X","SI","NO")</f>
        <v>SI</v>
      </c>
    </row>
    <row r="156" spans="1:5" x14ac:dyDescent="0.3">
      <c r="A156" t="str">
        <f>MID(Tabla1[[#This Row],[ENLACE]],FIND("~",SUBSTITUTE(Tabla1[[#This Row],[ENLACE]],"/","~",2))+1,LEN(Tabla1[[#This Row],[ENLACE]]))</f>
        <v>fc-zbrojovka-brno</v>
      </c>
      <c r="B156" s="2" t="s">
        <v>579</v>
      </c>
      <c r="C156" t="str">
        <f>_xlfn.TEXTBEFORE(_xlfn.TEXTAFTER(Tabla1[[#This Row],[ENLACE]],"/",1),"/")</f>
        <v>czech-republic</v>
      </c>
      <c r="D156" t="str">
        <f>Tabla1[[#This Row],[PAIS]]</f>
        <v>czech-republic</v>
      </c>
      <c r="E156" s="8" t="str">
        <f ca="1">IF(VLOOKUP(Tabla1[[#This Row],[DIVISION]],$H$2:$I$44,2)="X","SI","NO")</f>
        <v>SI</v>
      </c>
    </row>
    <row r="157" spans="1:5" x14ac:dyDescent="0.3">
      <c r="A157" t="str">
        <f>MID(Tabla1[[#This Row],[ENLACE]],FIND("~",SUBSTITUTE(Tabla1[[#This Row],[ENLACE]],"/","~",2))+1,LEN(Tabla1[[#This Row],[ENLACE]]))</f>
        <v>fc-hradec-kralove</v>
      </c>
      <c r="B157" s="5" t="s">
        <v>183</v>
      </c>
      <c r="C157" t="str">
        <f>_xlfn.TEXTBEFORE(_xlfn.TEXTAFTER(Tabla1[[#This Row],[ENLACE]],"/",1),"/")</f>
        <v>czech-republic</v>
      </c>
      <c r="D157" t="str">
        <f>Tabla1[[#This Row],[PAIS]]</f>
        <v>czech-republic</v>
      </c>
      <c r="E157" s="8" t="str">
        <f ca="1">IF(VLOOKUP(Tabla1[[#This Row],[DIVISION]],$H$2:$I$44,2)="X","SI","NO")</f>
        <v>SI</v>
      </c>
    </row>
    <row r="158" spans="1:5" x14ac:dyDescent="0.3">
      <c r="A158" t="str">
        <f>MID(Tabla1[[#This Row],[ENLACE]],FIND("~",SUBSTITUTE(Tabla1[[#This Row],[ENLACE]],"/","~",2))+1,LEN(Tabla1[[#This Row],[ENLACE]]))</f>
        <v>fk-jablonec</v>
      </c>
      <c r="B158" s="2" t="s">
        <v>184</v>
      </c>
      <c r="C158" t="str">
        <f>_xlfn.TEXTBEFORE(_xlfn.TEXTAFTER(Tabla1[[#This Row],[ENLACE]],"/",1),"/")</f>
        <v>czech-republic</v>
      </c>
      <c r="D158" t="str">
        <f>Tabla1[[#This Row],[PAIS]]</f>
        <v>czech-republic</v>
      </c>
      <c r="E158" s="8" t="str">
        <f ca="1">IF(VLOOKUP(Tabla1[[#This Row],[DIVISION]],$H$2:$I$44,2)="X","SI","NO")</f>
        <v>SI</v>
      </c>
    </row>
    <row r="159" spans="1:5" x14ac:dyDescent="0.3">
      <c r="A159" t="str">
        <f>MID(Tabla1[[#This Row],[ENLACE]],FIND("~",SUBSTITUTE(Tabla1[[#This Row],[ENLACE]],"/","~",2))+1,LEN(Tabla1[[#This Row],[ENLACE]]))</f>
        <v>fc-slovan-liberec</v>
      </c>
      <c r="B159" s="5" t="s">
        <v>185</v>
      </c>
      <c r="C159" t="str">
        <f>_xlfn.TEXTBEFORE(_xlfn.TEXTAFTER(Tabla1[[#This Row],[ENLACE]],"/",1),"/")</f>
        <v>czech-republic</v>
      </c>
      <c r="D159" t="str">
        <f>Tabla1[[#This Row],[PAIS]]</f>
        <v>czech-republic</v>
      </c>
      <c r="E159" s="8" t="str">
        <f ca="1">IF(VLOOKUP(Tabla1[[#This Row],[DIVISION]],$H$2:$I$44,2)="X","SI","NO")</f>
        <v>SI</v>
      </c>
    </row>
    <row r="160" spans="1:5" x14ac:dyDescent="0.3">
      <c r="A160" t="str">
        <f>MID(Tabla1[[#This Row],[ENLACE]],FIND("~",SUBSTITUTE(Tabla1[[#This Row],[ENLACE]],"/","~",2))+1,LEN(Tabla1[[#This Row],[ENLACE]]))</f>
        <v>fk-mlada-boleslav</v>
      </c>
      <c r="B160" s="2" t="s">
        <v>186</v>
      </c>
      <c r="C160" t="str">
        <f>_xlfn.TEXTBEFORE(_xlfn.TEXTAFTER(Tabla1[[#This Row],[ENLACE]],"/",1),"/")</f>
        <v>czech-republic</v>
      </c>
      <c r="D160" t="str">
        <f>Tabla1[[#This Row],[PAIS]]</f>
        <v>czech-republic</v>
      </c>
      <c r="E160" s="8" t="str">
        <f ca="1">IF(VLOOKUP(Tabla1[[#This Row],[DIVISION]],$H$2:$I$44,2)="X","SI","NO")</f>
        <v>SI</v>
      </c>
    </row>
    <row r="161" spans="1:5" x14ac:dyDescent="0.3">
      <c r="A161" t="str">
        <f>MID(Tabla1[[#This Row],[ENLACE]],FIND("~",SUBSTITUTE(Tabla1[[#This Row],[ENLACE]],"/","~",2))+1,LEN(Tabla1[[#This Row],[ENLACE]]))</f>
        <v>fc-banik-ostrava</v>
      </c>
      <c r="B161" s="5" t="s">
        <v>187</v>
      </c>
      <c r="C161" t="str">
        <f>_xlfn.TEXTBEFORE(_xlfn.TEXTAFTER(Tabla1[[#This Row],[ENLACE]],"/",1),"/")</f>
        <v>czech-republic</v>
      </c>
      <c r="D161" t="str">
        <f>Tabla1[[#This Row],[PAIS]]</f>
        <v>czech-republic</v>
      </c>
      <c r="E161" s="8" t="str">
        <f ca="1">IF(VLOOKUP(Tabla1[[#This Row],[DIVISION]],$H$2:$I$44,2)="X","SI","NO")</f>
        <v>SI</v>
      </c>
    </row>
    <row r="162" spans="1:5" x14ac:dyDescent="0.3">
      <c r="A162" t="str">
        <f>MID(Tabla1[[#This Row],[ENLACE]],FIND("~",SUBSTITUTE(Tabla1[[#This Row],[ENLACE]],"/","~",2))+1,LEN(Tabla1[[#This Row],[ENLACE]]))</f>
        <v>fk-pardubice</v>
      </c>
      <c r="B162" s="2" t="s">
        <v>188</v>
      </c>
      <c r="C162" t="str">
        <f>_xlfn.TEXTBEFORE(_xlfn.TEXTAFTER(Tabla1[[#This Row],[ENLACE]],"/",1),"/")</f>
        <v>czech-republic</v>
      </c>
      <c r="D162" t="str">
        <f>Tabla1[[#This Row],[PAIS]]</f>
        <v>czech-republic</v>
      </c>
      <c r="E162" s="8" t="str">
        <f ca="1">IF(VLOOKUP(Tabla1[[#This Row],[DIVISION]],$H$2:$I$44,2)="X","SI","NO")</f>
        <v>SI</v>
      </c>
    </row>
    <row r="163" spans="1:5" x14ac:dyDescent="0.3">
      <c r="A163" t="str">
        <f>MID(Tabla1[[#This Row],[ENLACE]],FIND("~",SUBSTITUTE(Tabla1[[#This Row],[ENLACE]],"/","~",2))+1,LEN(Tabla1[[#This Row],[ENLACE]]))</f>
        <v>fc-viktoria-plzen</v>
      </c>
      <c r="B163" s="5" t="s">
        <v>189</v>
      </c>
      <c r="C163" t="str">
        <f>_xlfn.TEXTBEFORE(_xlfn.TEXTAFTER(Tabla1[[#This Row],[ENLACE]],"/",1),"/")</f>
        <v>czech-republic</v>
      </c>
      <c r="D163" t="str">
        <f>Tabla1[[#This Row],[PAIS]]</f>
        <v>czech-republic</v>
      </c>
      <c r="E163" s="8" t="str">
        <f ca="1">IF(VLOOKUP(Tabla1[[#This Row],[DIVISION]],$H$2:$I$44,2)="X","SI","NO")</f>
        <v>SI</v>
      </c>
    </row>
    <row r="164" spans="1:5" x14ac:dyDescent="0.3">
      <c r="A164" t="str">
        <f>MID(Tabla1[[#This Row],[ENLACE]],FIND("~",SUBSTITUTE(Tabla1[[#This Row],[ENLACE]],"/","~",2))+1,LEN(Tabla1[[#This Row],[ENLACE]]))</f>
        <v>sk-sigma-olomouc</v>
      </c>
      <c r="B164" s="2" t="s">
        <v>190</v>
      </c>
      <c r="C164" t="str">
        <f>_xlfn.TEXTBEFORE(_xlfn.TEXTAFTER(Tabla1[[#This Row],[ENLACE]],"/",1),"/")</f>
        <v>czech-republic</v>
      </c>
      <c r="D164" t="str">
        <f>Tabla1[[#This Row],[PAIS]]</f>
        <v>czech-republic</v>
      </c>
      <c r="E164" s="8" t="str">
        <f ca="1">IF(VLOOKUP(Tabla1[[#This Row],[DIVISION]],$H$2:$I$44,2)="X","SI","NO")</f>
        <v>SI</v>
      </c>
    </row>
    <row r="165" spans="1:5" x14ac:dyDescent="0.3">
      <c r="A165" t="str">
        <f>MID(Tabla1[[#This Row],[ENLACE]],FIND("~",SUBSTITUTE(Tabla1[[#This Row],[ENLACE]],"/","~",2))+1,LEN(Tabla1[[#This Row],[ENLACE]]))</f>
        <v>slavia-prague</v>
      </c>
      <c r="B165" s="5" t="s">
        <v>191</v>
      </c>
      <c r="C165" t="str">
        <f>_xlfn.TEXTBEFORE(_xlfn.TEXTAFTER(Tabla1[[#This Row],[ENLACE]],"/",1),"/")</f>
        <v>czech-republic</v>
      </c>
      <c r="D165" t="str">
        <f>Tabla1[[#This Row],[PAIS]]</f>
        <v>czech-republic</v>
      </c>
      <c r="E165" s="8" t="str">
        <f ca="1">IF(VLOOKUP(Tabla1[[#This Row],[DIVISION]],$H$2:$I$44,2)="X","SI","NO")</f>
        <v>SI</v>
      </c>
    </row>
    <row r="166" spans="1:5" x14ac:dyDescent="0.3">
      <c r="A166" t="str">
        <f>MID(Tabla1[[#This Row],[ENLACE]],FIND("~",SUBSTITUTE(Tabla1[[#This Row],[ENLACE]],"/","~",2))+1,LEN(Tabla1[[#This Row],[ENLACE]]))</f>
        <v>fc-slovacko</v>
      </c>
      <c r="B166" s="2" t="s">
        <v>192</v>
      </c>
      <c r="C166" t="str">
        <f>_xlfn.TEXTBEFORE(_xlfn.TEXTAFTER(Tabla1[[#This Row],[ENLACE]],"/",1),"/")</f>
        <v>czech-republic</v>
      </c>
      <c r="D166" t="str">
        <f>Tabla1[[#This Row],[PAIS]]</f>
        <v>czech-republic</v>
      </c>
      <c r="E166" s="8" t="str">
        <f ca="1">IF(VLOOKUP(Tabla1[[#This Row],[DIVISION]],$H$2:$I$44,2)="X","SI","NO")</f>
        <v>SI</v>
      </c>
    </row>
    <row r="167" spans="1:5" x14ac:dyDescent="0.3">
      <c r="A167" t="str">
        <f>MID(Tabla1[[#This Row],[ENLACE]],FIND("~",SUBSTITUTE(Tabla1[[#This Row],[ENLACE]],"/","~",2))+1,LEN(Tabla1[[#This Row],[ENLACE]]))</f>
        <v>sparta-prague</v>
      </c>
      <c r="B167" s="5" t="s">
        <v>193</v>
      </c>
      <c r="C167" t="str">
        <f>_xlfn.TEXTBEFORE(_xlfn.TEXTAFTER(Tabla1[[#This Row],[ENLACE]],"/",1),"/")</f>
        <v>czech-republic</v>
      </c>
      <c r="D167" t="str">
        <f>Tabla1[[#This Row],[PAIS]]</f>
        <v>czech-republic</v>
      </c>
      <c r="E167" s="8" t="str">
        <f ca="1">IF(VLOOKUP(Tabla1[[#This Row],[DIVISION]],$H$2:$I$44,2)="X","SI","NO")</f>
        <v>SI</v>
      </c>
    </row>
    <row r="168" spans="1:5" x14ac:dyDescent="0.3">
      <c r="A168" t="str">
        <f>MID(Tabla1[[#This Row],[ENLACE]],FIND("~",SUBSTITUTE(Tabla1[[#This Row],[ENLACE]],"/","~",2))+1,LEN(Tabla1[[#This Row],[ENLACE]]))</f>
        <v>fk-teplice</v>
      </c>
      <c r="B168" s="2" t="s">
        <v>194</v>
      </c>
      <c r="C168" t="str">
        <f>_xlfn.TEXTBEFORE(_xlfn.TEXTAFTER(Tabla1[[#This Row],[ENLACE]],"/",1),"/")</f>
        <v>czech-republic</v>
      </c>
      <c r="D168" t="str">
        <f>Tabla1[[#This Row],[PAIS]]</f>
        <v>czech-republic</v>
      </c>
      <c r="E168" s="8" t="str">
        <f ca="1">IF(VLOOKUP(Tabla1[[#This Row],[DIVISION]],$H$2:$I$44,2)="X","SI","NO")</f>
        <v>SI</v>
      </c>
    </row>
    <row r="169" spans="1:5" x14ac:dyDescent="0.3">
      <c r="A169" t="str">
        <f>MID(Tabla1[[#This Row],[ENLACE]],FIND("~",SUBSTITUTE(Tabla1[[#This Row],[ENLACE]],"/","~",2))+1,LEN(Tabla1[[#This Row],[ENLACE]]))</f>
        <v>fc-fastav-zlin</v>
      </c>
      <c r="B169" s="5" t="s">
        <v>195</v>
      </c>
      <c r="C169" t="str">
        <f>_xlfn.TEXTBEFORE(_xlfn.TEXTAFTER(Tabla1[[#This Row],[ENLACE]],"/",1),"/")</f>
        <v>czech-republic</v>
      </c>
      <c r="D169" t="str">
        <f>Tabla1[[#This Row],[PAIS]]</f>
        <v>czech-republic</v>
      </c>
      <c r="E169" s="8" t="str">
        <f ca="1">IF(VLOOKUP(Tabla1[[#This Row],[DIVISION]],$H$2:$I$44,2)="X","SI","NO")</f>
        <v>SI</v>
      </c>
    </row>
    <row r="170" spans="1:5" x14ac:dyDescent="0.3">
      <c r="A170" t="str">
        <f>MID(Tabla1[[#This Row],[ENLACE]],FIND("~",SUBSTITUTE(Tabla1[[#This Row],[ENLACE]],"/","~",2))+1,LEN(Tabla1[[#This Row],[ENLACE]]))</f>
        <v>aarhus</v>
      </c>
      <c r="B170" s="2" t="s">
        <v>196</v>
      </c>
      <c r="C170" t="str">
        <f>_xlfn.TEXTBEFORE(_xlfn.TEXTAFTER(Tabla1[[#This Row],[ENLACE]],"/",1),"/")</f>
        <v>denmark</v>
      </c>
      <c r="D170" t="str">
        <f>Tabla1[[#This Row],[PAIS]]</f>
        <v>denmark</v>
      </c>
      <c r="E170" s="8" t="str">
        <f ca="1">IF(VLOOKUP(Tabla1[[#This Row],[DIVISION]],$H$2:$I$44,2)="X","SI","NO")</f>
        <v>SI</v>
      </c>
    </row>
    <row r="171" spans="1:5" x14ac:dyDescent="0.3">
      <c r="A171" t="str">
        <f>MID(Tabla1[[#This Row],[ENLACE]],FIND("~",SUBSTITUTE(Tabla1[[#This Row],[ENLACE]],"/","~",2))+1,LEN(Tabla1[[#This Row],[ENLACE]]))</f>
        <v>brondby</v>
      </c>
      <c r="B171" s="5" t="s">
        <v>197</v>
      </c>
      <c r="C171" t="str">
        <f>_xlfn.TEXTBEFORE(_xlfn.TEXTAFTER(Tabla1[[#This Row],[ENLACE]],"/",1),"/")</f>
        <v>denmark</v>
      </c>
      <c r="D171" t="str">
        <f>Tabla1[[#This Row],[PAIS]]</f>
        <v>denmark</v>
      </c>
      <c r="E171" s="8" t="str">
        <f ca="1">IF(VLOOKUP(Tabla1[[#This Row],[DIVISION]],$H$2:$I$44,2)="X","SI","NO")</f>
        <v>SI</v>
      </c>
    </row>
    <row r="172" spans="1:5" x14ac:dyDescent="0.3">
      <c r="A172" t="str">
        <f>MID(Tabla1[[#This Row],[ENLACE]],FIND("~",SUBSTITUTE(Tabla1[[#This Row],[ENLACE]],"/","~",2))+1,LEN(Tabla1[[#This Row],[ENLACE]]))</f>
        <v>fc-copenhagen</v>
      </c>
      <c r="B172" s="2" t="s">
        <v>198</v>
      </c>
      <c r="C172" t="str">
        <f>_xlfn.TEXTBEFORE(_xlfn.TEXTAFTER(Tabla1[[#This Row],[ENLACE]],"/",1),"/")</f>
        <v>denmark</v>
      </c>
      <c r="D172" t="str">
        <f>Tabla1[[#This Row],[PAIS]]</f>
        <v>denmark</v>
      </c>
      <c r="E172" s="8" t="str">
        <f ca="1">IF(VLOOKUP(Tabla1[[#This Row],[DIVISION]],$H$2:$I$44,2)="X","SI","NO")</f>
        <v>SI</v>
      </c>
    </row>
    <row r="173" spans="1:5" x14ac:dyDescent="0.3">
      <c r="A173" t="str">
        <f>MID(Tabla1[[#This Row],[ENLACE]],FIND("~",SUBSTITUTE(Tabla1[[#This Row],[ENLACE]],"/","~",2))+1,LEN(Tabla1[[#This Row],[ENLACE]]))</f>
        <v>ac-horsens</v>
      </c>
      <c r="B173" s="5" t="s">
        <v>580</v>
      </c>
      <c r="C173" t="str">
        <f>_xlfn.TEXTBEFORE(_xlfn.TEXTAFTER(Tabla1[[#This Row],[ENLACE]],"/",1),"/")</f>
        <v>denmark</v>
      </c>
      <c r="D173" t="str">
        <f>Tabla1[[#This Row],[PAIS]]</f>
        <v>denmark</v>
      </c>
      <c r="E173" s="8" t="str">
        <f ca="1">IF(VLOOKUP(Tabla1[[#This Row],[DIVISION]],$H$2:$I$44,2)="X","SI","NO")</f>
        <v>SI</v>
      </c>
    </row>
    <row r="174" spans="1:5" x14ac:dyDescent="0.3">
      <c r="A174" t="str">
        <f>MID(Tabla1[[#This Row],[ENLACE]],FIND("~",SUBSTITUTE(Tabla1[[#This Row],[ENLACE]],"/","~",2))+1,LEN(Tabla1[[#This Row],[ENLACE]]))</f>
        <v>lyngby-bk</v>
      </c>
      <c r="B174" s="2" t="s">
        <v>581</v>
      </c>
      <c r="C174" t="str">
        <f>_xlfn.TEXTBEFORE(_xlfn.TEXTAFTER(Tabla1[[#This Row],[ENLACE]],"/",1),"/")</f>
        <v>denmark</v>
      </c>
      <c r="D174" t="str">
        <f>Tabla1[[#This Row],[PAIS]]</f>
        <v>denmark</v>
      </c>
      <c r="E174" s="8" t="str">
        <f ca="1">IF(VLOOKUP(Tabla1[[#This Row],[DIVISION]],$H$2:$I$44,2)="X","SI","NO")</f>
        <v>SI</v>
      </c>
    </row>
    <row r="175" spans="1:5" x14ac:dyDescent="0.3">
      <c r="A175" t="str">
        <f>MID(Tabla1[[#This Row],[ENLACE]],FIND("~",SUBSTITUTE(Tabla1[[#This Row],[ENLACE]],"/","~",2))+1,LEN(Tabla1[[#This Row],[ENLACE]]))</f>
        <v>fc-midtjylland</v>
      </c>
      <c r="B175" s="5" t="s">
        <v>199</v>
      </c>
      <c r="C175" t="str">
        <f>_xlfn.TEXTBEFORE(_xlfn.TEXTAFTER(Tabla1[[#This Row],[ENLACE]],"/",1),"/")</f>
        <v>denmark</v>
      </c>
      <c r="D175" t="str">
        <f>Tabla1[[#This Row],[PAIS]]</f>
        <v>denmark</v>
      </c>
      <c r="E175" s="8" t="str">
        <f ca="1">IF(VLOOKUP(Tabla1[[#This Row],[DIVISION]],$H$2:$I$44,2)="X","SI","NO")</f>
        <v>SI</v>
      </c>
    </row>
    <row r="176" spans="1:5" x14ac:dyDescent="0.3">
      <c r="A176" t="str">
        <f>MID(Tabla1[[#This Row],[ENLACE]],FIND("~",SUBSTITUTE(Tabla1[[#This Row],[ENLACE]],"/","~",2))+1,LEN(Tabla1[[#This Row],[ENLACE]]))</f>
        <v>fc-nordsjaelland</v>
      </c>
      <c r="B176" s="2" t="s">
        <v>200</v>
      </c>
      <c r="C176" t="str">
        <f>_xlfn.TEXTBEFORE(_xlfn.TEXTAFTER(Tabla1[[#This Row],[ENLACE]],"/",1),"/")</f>
        <v>denmark</v>
      </c>
      <c r="D176" t="str">
        <f>Tabla1[[#This Row],[PAIS]]</f>
        <v>denmark</v>
      </c>
      <c r="E176" s="8" t="str">
        <f ca="1">IF(VLOOKUP(Tabla1[[#This Row],[DIVISION]],$H$2:$I$44,2)="X","SI","NO")</f>
        <v>SI</v>
      </c>
    </row>
    <row r="177" spans="1:5" x14ac:dyDescent="0.3">
      <c r="A177" t="str">
        <f>MID(Tabla1[[#This Row],[ENLACE]],FIND("~",SUBSTITUTE(Tabla1[[#This Row],[ENLACE]],"/","~",2))+1,LEN(Tabla1[[#This Row],[ENLACE]]))</f>
        <v>odense-boldklub</v>
      </c>
      <c r="B177" s="5" t="s">
        <v>201</v>
      </c>
      <c r="C177" t="str">
        <f>_xlfn.TEXTBEFORE(_xlfn.TEXTAFTER(Tabla1[[#This Row],[ENLACE]],"/",1),"/")</f>
        <v>denmark</v>
      </c>
      <c r="D177" t="str">
        <f>Tabla1[[#This Row],[PAIS]]</f>
        <v>denmark</v>
      </c>
      <c r="E177" s="8" t="str">
        <f ca="1">IF(VLOOKUP(Tabla1[[#This Row],[DIVISION]],$H$2:$I$44,2)="X","SI","NO")</f>
        <v>SI</v>
      </c>
    </row>
    <row r="178" spans="1:5" x14ac:dyDescent="0.3">
      <c r="A178" t="str">
        <f>MID(Tabla1[[#This Row],[ENLACE]],FIND("~",SUBSTITUTE(Tabla1[[#This Row],[ENLACE]],"/","~",2))+1,LEN(Tabla1[[#This Row],[ENLACE]]))</f>
        <v>randers-fc</v>
      </c>
      <c r="B178" s="2" t="s">
        <v>202</v>
      </c>
      <c r="C178" t="str">
        <f>_xlfn.TEXTBEFORE(_xlfn.TEXTAFTER(Tabla1[[#This Row],[ENLACE]],"/",1),"/")</f>
        <v>denmark</v>
      </c>
      <c r="D178" t="str">
        <f>Tabla1[[#This Row],[PAIS]]</f>
        <v>denmark</v>
      </c>
      <c r="E178" s="8" t="str">
        <f ca="1">IF(VLOOKUP(Tabla1[[#This Row],[DIVISION]],$H$2:$I$44,2)="X","SI","NO")</f>
        <v>SI</v>
      </c>
    </row>
    <row r="179" spans="1:5" x14ac:dyDescent="0.3">
      <c r="A179" t="str">
        <f>MID(Tabla1[[#This Row],[ENLACE]],FIND("~",SUBSTITUTE(Tabla1[[#This Row],[ENLACE]],"/","~",2))+1,LEN(Tabla1[[#This Row],[ENLACE]]))</f>
        <v>silkeborg-if</v>
      </c>
      <c r="B179" s="5" t="s">
        <v>203</v>
      </c>
      <c r="C179" t="str">
        <f>_xlfn.TEXTBEFORE(_xlfn.TEXTAFTER(Tabla1[[#This Row],[ENLACE]],"/",1),"/")</f>
        <v>denmark</v>
      </c>
      <c r="D179" t="str">
        <f>Tabla1[[#This Row],[PAIS]]</f>
        <v>denmark</v>
      </c>
      <c r="E179" s="8" t="str">
        <f ca="1">IF(VLOOKUP(Tabla1[[#This Row],[DIVISION]],$H$2:$I$44,2)="X","SI","NO")</f>
        <v>SI</v>
      </c>
    </row>
    <row r="180" spans="1:5" x14ac:dyDescent="0.3">
      <c r="A180" t="str">
        <f>MID(Tabla1[[#This Row],[ENLACE]],FIND("~",SUBSTITUTE(Tabla1[[#This Row],[ENLACE]],"/","~",2))+1,LEN(Tabla1[[#This Row],[ENLACE]]))</f>
        <v>sonderjyske</v>
      </c>
      <c r="B180" s="2" t="s">
        <v>204</v>
      </c>
      <c r="C180" t="str">
        <f>_xlfn.TEXTBEFORE(_xlfn.TEXTAFTER(Tabla1[[#This Row],[ENLACE]],"/",1),"/")</f>
        <v>denmark</v>
      </c>
      <c r="D180" t="str">
        <f>Tabla1[[#This Row],[PAIS]]</f>
        <v>denmark</v>
      </c>
      <c r="E180" s="8" t="str">
        <f ca="1">IF(VLOOKUP(Tabla1[[#This Row],[DIVISION]],$H$2:$I$44,2)="X","SI","NO")</f>
        <v>SI</v>
      </c>
    </row>
    <row r="181" spans="1:5" x14ac:dyDescent="0.3">
      <c r="A181" t="str">
        <f>MID(Tabla1[[#This Row],[ENLACE]],FIND("~",SUBSTITUTE(Tabla1[[#This Row],[ENLACE]],"/","~",2))+1,LEN(Tabla1[[#This Row],[ENLACE]]))</f>
        <v>viborg-ff</v>
      </c>
      <c r="B181" s="5" t="s">
        <v>205</v>
      </c>
      <c r="C181" t="str">
        <f>_xlfn.TEXTBEFORE(_xlfn.TEXTAFTER(Tabla1[[#This Row],[ENLACE]],"/",1),"/")</f>
        <v>denmark</v>
      </c>
      <c r="D181" t="str">
        <f>Tabla1[[#This Row],[PAIS]]</f>
        <v>denmark</v>
      </c>
      <c r="E181" s="8" t="str">
        <f ca="1">IF(VLOOKUP(Tabla1[[#This Row],[DIVISION]],$H$2:$I$44,2)="X","SI","NO")</f>
        <v>SI</v>
      </c>
    </row>
    <row r="182" spans="1:5" x14ac:dyDescent="0.3">
      <c r="A182" t="str">
        <f>MID(Tabla1[[#This Row],[ENLACE]],FIND("~",SUBSTITUTE(Tabla1[[#This Row],[ENLACE]],"/","~",2))+1,LEN(Tabla1[[#This Row],[ENLACE]]))</f>
        <v>sd-aucas</v>
      </c>
      <c r="B182" s="5" t="s">
        <v>485</v>
      </c>
      <c r="C182" t="str">
        <f>_xlfn.TEXTBEFORE(_xlfn.TEXTAFTER(Tabla1[[#This Row],[ENLACE]],"/",1),"/")</f>
        <v>ecuador</v>
      </c>
      <c r="D182" t="str">
        <f>Tabla1[[#This Row],[PAIS]]</f>
        <v>ecuador</v>
      </c>
      <c r="E182" s="8" t="str">
        <f ca="1">IF(VLOOKUP(Tabla1[[#This Row],[DIVISION]],$H$2:$I$44,2)="X","SI","NO")</f>
        <v>SI</v>
      </c>
    </row>
    <row r="183" spans="1:5" x14ac:dyDescent="0.3">
      <c r="A183" t="str">
        <f>MID(Tabla1[[#This Row],[ENLACE]],FIND("~",SUBSTITUTE(Tabla1[[#This Row],[ENLACE]],"/","~",2))+1,LEN(Tabla1[[#This Row],[ENLACE]]))</f>
        <v>barcelona-sc</v>
      </c>
      <c r="B183" s="5" t="s">
        <v>486</v>
      </c>
      <c r="C183" t="str">
        <f>_xlfn.TEXTBEFORE(_xlfn.TEXTAFTER(Tabla1[[#This Row],[ENLACE]],"/",1),"/")</f>
        <v>ecuador</v>
      </c>
      <c r="D183" t="str">
        <f>Tabla1[[#This Row],[PAIS]]</f>
        <v>ecuador</v>
      </c>
      <c r="E183" s="8" t="str">
        <f ca="1">IF(VLOOKUP(Tabla1[[#This Row],[DIVISION]],$H$2:$I$44,2)="X","SI","NO")</f>
        <v>SI</v>
      </c>
    </row>
    <row r="184" spans="1:5" x14ac:dyDescent="0.3">
      <c r="A184" t="str">
        <f>MID(Tabla1[[#This Row],[ENLACE]],FIND("~",SUBSTITUTE(Tabla1[[#This Row],[ENLACE]],"/","~",2))+1,LEN(Tabla1[[#This Row],[ENLACE]]))</f>
        <v>delfin-sc</v>
      </c>
      <c r="B184" s="5" t="s">
        <v>487</v>
      </c>
      <c r="C184" t="str">
        <f>_xlfn.TEXTBEFORE(_xlfn.TEXTAFTER(Tabla1[[#This Row],[ENLACE]],"/",1),"/")</f>
        <v>ecuador</v>
      </c>
      <c r="D184" t="str">
        <f>Tabla1[[#This Row],[PAIS]]</f>
        <v>ecuador</v>
      </c>
      <c r="E184" s="8" t="str">
        <f ca="1">IF(VLOOKUP(Tabla1[[#This Row],[DIVISION]],$H$2:$I$44,2)="X","SI","NO")</f>
        <v>SI</v>
      </c>
    </row>
    <row r="185" spans="1:5" x14ac:dyDescent="0.3">
      <c r="A185" t="str">
        <f>MID(Tabla1[[#This Row],[ENLACE]],FIND("~",SUBSTITUTE(Tabla1[[#This Row],[ENLACE]],"/","~",2))+1,LEN(Tabla1[[#This Row],[ENLACE]]))</f>
        <v>cd-cuenca</v>
      </c>
      <c r="B185" s="5" t="s">
        <v>488</v>
      </c>
      <c r="C185" t="str">
        <f>_xlfn.TEXTBEFORE(_xlfn.TEXTAFTER(Tabla1[[#This Row],[ENLACE]],"/",1),"/")</f>
        <v>ecuador</v>
      </c>
      <c r="D185" t="str">
        <f>Tabla1[[#This Row],[PAIS]]</f>
        <v>ecuador</v>
      </c>
      <c r="E185" s="8" t="str">
        <f ca="1">IF(VLOOKUP(Tabla1[[#This Row],[DIVISION]],$H$2:$I$44,2)="X","SI","NO")</f>
        <v>SI</v>
      </c>
    </row>
    <row r="186" spans="1:5" x14ac:dyDescent="0.3">
      <c r="A186" t="str">
        <f>MID(Tabla1[[#This Row],[ENLACE]],FIND("~",SUBSTITUTE(Tabla1[[#This Row],[ENLACE]],"/","~",2))+1,LEN(Tabla1[[#This Row],[ENLACE]]))</f>
        <v>cs-emelec</v>
      </c>
      <c r="B186" s="5" t="s">
        <v>489</v>
      </c>
      <c r="C186" t="str">
        <f>_xlfn.TEXTBEFORE(_xlfn.TEXTAFTER(Tabla1[[#This Row],[ENLACE]],"/",1),"/")</f>
        <v>ecuador</v>
      </c>
      <c r="D186" t="str">
        <f>Tabla1[[#This Row],[PAIS]]</f>
        <v>ecuador</v>
      </c>
      <c r="E186" s="8" t="str">
        <f ca="1">IF(VLOOKUP(Tabla1[[#This Row],[DIVISION]],$H$2:$I$44,2)="X","SI","NO")</f>
        <v>SI</v>
      </c>
    </row>
    <row r="187" spans="1:5" x14ac:dyDescent="0.3">
      <c r="A187" t="str">
        <f>MID(Tabla1[[#This Row],[ENLACE]],FIND("~",SUBSTITUTE(Tabla1[[#This Row],[ENLACE]],"/","~",2))+1,LEN(Tabla1[[#This Row],[ENLACE]]))</f>
        <v>guayaquil-city-fc</v>
      </c>
      <c r="B187" s="5" t="s">
        <v>536</v>
      </c>
      <c r="C187" t="str">
        <f>_xlfn.TEXTBEFORE(_xlfn.TEXTAFTER(Tabla1[[#This Row],[ENLACE]],"/",1),"/")</f>
        <v>ecuador</v>
      </c>
      <c r="D187" t="str">
        <f>Tabla1[[#This Row],[PAIS]]</f>
        <v>ecuador</v>
      </c>
      <c r="E187" s="8" t="str">
        <f ca="1">IF(VLOOKUP(Tabla1[[#This Row],[DIVISION]],$H$2:$I$44,2)="X","SI","NO")</f>
        <v>SI</v>
      </c>
    </row>
    <row r="188" spans="1:5" x14ac:dyDescent="0.3">
      <c r="A188" t="str">
        <f>MID(Tabla1[[#This Row],[ENLACE]],FIND("~",SUBSTITUTE(Tabla1[[#This Row],[ENLACE]],"/","~",2))+1,LEN(Tabla1[[#This Row],[ENLACE]]))</f>
        <v>csd-independiente-del-valle</v>
      </c>
      <c r="B188" s="5" t="s">
        <v>490</v>
      </c>
      <c r="C188" t="str">
        <f>_xlfn.TEXTBEFORE(_xlfn.TEXTAFTER(Tabla1[[#This Row],[ENLACE]],"/",1),"/")</f>
        <v>ecuador</v>
      </c>
      <c r="D188" t="str">
        <f>Tabla1[[#This Row],[PAIS]]</f>
        <v>ecuador</v>
      </c>
      <c r="E188" s="8" t="str">
        <f ca="1">IF(VLOOKUP(Tabla1[[#This Row],[DIVISION]],$H$2:$I$44,2)="X","SI","NO")</f>
        <v>SI</v>
      </c>
    </row>
    <row r="189" spans="1:5" x14ac:dyDescent="0.3">
      <c r="A189" t="str">
        <f>MID(Tabla1[[#This Row],[ENLACE]],FIND("~",SUBSTITUTE(Tabla1[[#This Row],[ENLACE]],"/","~",2))+1,LEN(Tabla1[[#This Row],[ENLACE]]))</f>
        <v>ldu-quito</v>
      </c>
      <c r="B189" s="5" t="s">
        <v>491</v>
      </c>
      <c r="C189" t="str">
        <f>_xlfn.TEXTBEFORE(_xlfn.TEXTAFTER(Tabla1[[#This Row],[ENLACE]],"/",1),"/")</f>
        <v>ecuador</v>
      </c>
      <c r="D189" t="str">
        <f>Tabla1[[#This Row],[PAIS]]</f>
        <v>ecuador</v>
      </c>
      <c r="E189" s="8" t="str">
        <f ca="1">IF(VLOOKUP(Tabla1[[#This Row],[DIVISION]],$H$2:$I$44,2)="X","SI","NO")</f>
        <v>SI</v>
      </c>
    </row>
    <row r="190" spans="1:5" x14ac:dyDescent="0.3">
      <c r="A190" t="str">
        <f>MID(Tabla1[[#This Row],[ENLACE]],FIND("~",SUBSTITUTE(Tabla1[[#This Row],[ENLACE]],"/","~",2))+1,LEN(Tabla1[[#This Row],[ENLACE]]))</f>
        <v>leones-fc</v>
      </c>
      <c r="B190" s="5" t="s">
        <v>537</v>
      </c>
      <c r="C190" t="str">
        <f>_xlfn.TEXTBEFORE(_xlfn.TEXTAFTER(Tabla1[[#This Row],[ENLACE]],"/",1),"/")</f>
        <v>ecuador</v>
      </c>
      <c r="D190" t="str">
        <f>Tabla1[[#This Row],[PAIS]]</f>
        <v>ecuador</v>
      </c>
      <c r="E190" s="8" t="str">
        <f ca="1">IF(VLOOKUP(Tabla1[[#This Row],[DIVISION]],$H$2:$I$44,2)="X","SI","NO")</f>
        <v>SI</v>
      </c>
    </row>
    <row r="191" spans="1:5" x14ac:dyDescent="0.3">
      <c r="A191" t="str">
        <f>MID(Tabla1[[#This Row],[ENLACE]],FIND("~",SUBSTITUTE(Tabla1[[#This Row],[ENLACE]],"/","~",2))+1,LEN(Tabla1[[#This Row],[ENLACE]]))</f>
        <v>libertad-fc</v>
      </c>
      <c r="B191" s="5" t="s">
        <v>492</v>
      </c>
      <c r="C191" t="str">
        <f>_xlfn.TEXTBEFORE(_xlfn.TEXTAFTER(Tabla1[[#This Row],[ENLACE]],"/",1),"/")</f>
        <v>ecuador</v>
      </c>
      <c r="D191" t="str">
        <f>Tabla1[[#This Row],[PAIS]]</f>
        <v>ecuador</v>
      </c>
      <c r="E191" s="8" t="str">
        <f ca="1">IF(VLOOKUP(Tabla1[[#This Row],[DIVISION]],$H$2:$I$44,2)="X","SI","NO")</f>
        <v>SI</v>
      </c>
    </row>
    <row r="192" spans="1:5" x14ac:dyDescent="0.3">
      <c r="A192" t="str">
        <f>MID(Tabla1[[#This Row],[ENLACE]],FIND("~",SUBSTITUTE(Tabla1[[#This Row],[ENLACE]],"/","~",2))+1,LEN(Tabla1[[#This Row],[ENLACE]]))</f>
        <v>csd-macara</v>
      </c>
      <c r="B192" s="5" t="s">
        <v>493</v>
      </c>
      <c r="C192" t="str">
        <f>_xlfn.TEXTBEFORE(_xlfn.TEXTAFTER(Tabla1[[#This Row],[ENLACE]],"/",1),"/")</f>
        <v>ecuador</v>
      </c>
      <c r="D192" t="str">
        <f>Tabla1[[#This Row],[PAIS]]</f>
        <v>ecuador</v>
      </c>
      <c r="E192" s="8" t="str">
        <f ca="1">IF(VLOOKUP(Tabla1[[#This Row],[DIVISION]],$H$2:$I$44,2)="X","SI","NO")</f>
        <v>SI</v>
      </c>
    </row>
    <row r="193" spans="1:5" x14ac:dyDescent="0.3">
      <c r="A193" t="str">
        <f>MID(Tabla1[[#This Row],[ENLACE]],FIND("~",SUBSTITUTE(Tabla1[[#This Row],[ENLACE]],"/","~",2))+1,LEN(Tabla1[[#This Row],[ENLACE]]))</f>
        <v>manta-fc</v>
      </c>
      <c r="B193" s="5" t="s">
        <v>494</v>
      </c>
      <c r="C193" t="str">
        <f>_xlfn.TEXTBEFORE(_xlfn.TEXTAFTER(Tabla1[[#This Row],[ENLACE]],"/",1),"/")</f>
        <v>ecuador</v>
      </c>
      <c r="D193" t="str">
        <f>Tabla1[[#This Row],[PAIS]]</f>
        <v>ecuador</v>
      </c>
      <c r="E193" s="8" t="str">
        <f ca="1">IF(VLOOKUP(Tabla1[[#This Row],[DIVISION]],$H$2:$I$44,2)="X","SI","NO")</f>
        <v>SI</v>
      </c>
    </row>
    <row r="194" spans="1:5" x14ac:dyDescent="0.3">
      <c r="A194" t="str">
        <f>MID(Tabla1[[#This Row],[ENLACE]],FIND("~",SUBSTITUTE(Tabla1[[#This Row],[ENLACE]],"/","~",2))+1,LEN(Tabla1[[#This Row],[ENLACE]]))</f>
        <v>mushuc-runa-sc</v>
      </c>
      <c r="B194" s="5" t="s">
        <v>495</v>
      </c>
      <c r="C194" t="str">
        <f>_xlfn.TEXTBEFORE(_xlfn.TEXTAFTER(Tabla1[[#This Row],[ENLACE]],"/",1),"/")</f>
        <v>ecuador</v>
      </c>
      <c r="D194" t="str">
        <f>Tabla1[[#This Row],[PAIS]]</f>
        <v>ecuador</v>
      </c>
      <c r="E194" s="8" t="str">
        <f ca="1">IF(VLOOKUP(Tabla1[[#This Row],[DIVISION]],$H$2:$I$44,2)="X","SI","NO")</f>
        <v>SI</v>
      </c>
    </row>
    <row r="195" spans="1:5" x14ac:dyDescent="0.3">
      <c r="A195" t="str">
        <f>MID(Tabla1[[#This Row],[ENLACE]],FIND("~",SUBSTITUTE(Tabla1[[#This Row],[ENLACE]],"/","~",2))+1,LEN(Tabla1[[#This Row],[ENLACE]]))</f>
        <v>orense-sc</v>
      </c>
      <c r="B195" s="5" t="s">
        <v>496</v>
      </c>
      <c r="C195" t="str">
        <f>_xlfn.TEXTBEFORE(_xlfn.TEXTAFTER(Tabla1[[#This Row],[ENLACE]],"/",1),"/")</f>
        <v>ecuador</v>
      </c>
      <c r="D195" t="str">
        <f>Tabla1[[#This Row],[PAIS]]</f>
        <v>ecuador</v>
      </c>
      <c r="E195" s="8" t="str">
        <f ca="1">IF(VLOOKUP(Tabla1[[#This Row],[DIVISION]],$H$2:$I$44,2)="X","SI","NO")</f>
        <v>SI</v>
      </c>
    </row>
    <row r="196" spans="1:5" x14ac:dyDescent="0.3">
      <c r="A196" t="str">
        <f>MID(Tabla1[[#This Row],[ENLACE]],FIND("~",SUBSTITUTE(Tabla1[[#This Row],[ENLACE]],"/","~",2))+1,LEN(Tabla1[[#This Row],[ENLACE]]))</f>
        <v>tecnico-universitario</v>
      </c>
      <c r="B196" s="5" t="s">
        <v>497</v>
      </c>
      <c r="C196" t="str">
        <f>_xlfn.TEXTBEFORE(_xlfn.TEXTAFTER(Tabla1[[#This Row],[ENLACE]],"/",1),"/")</f>
        <v>ecuador</v>
      </c>
      <c r="D196" t="str">
        <f>Tabla1[[#This Row],[PAIS]]</f>
        <v>ecuador</v>
      </c>
      <c r="E196" s="8" t="str">
        <f ca="1">IF(VLOOKUP(Tabla1[[#This Row],[DIVISION]],$H$2:$I$44,2)="X","SI","NO")</f>
        <v>SI</v>
      </c>
    </row>
    <row r="197" spans="1:5" x14ac:dyDescent="0.3">
      <c r="A197" t="str">
        <f>MID(Tabla1[[#This Row],[ENLACE]],FIND("~",SUBSTITUTE(Tabla1[[#This Row],[ENLACE]],"/","~",2))+1,LEN(Tabla1[[#This Row],[ENLACE]]))</f>
        <v>cd-universidad-catolica</v>
      </c>
      <c r="B197" s="5" t="s">
        <v>498</v>
      </c>
      <c r="C197" t="str">
        <f>_xlfn.TEXTBEFORE(_xlfn.TEXTAFTER(Tabla1[[#This Row],[ENLACE]],"/",1),"/")</f>
        <v>ecuador</v>
      </c>
      <c r="D197" t="str">
        <f>Tabla1[[#This Row],[PAIS]]</f>
        <v>ecuador</v>
      </c>
      <c r="E197" s="8" t="str">
        <f ca="1">IF(VLOOKUP(Tabla1[[#This Row],[DIVISION]],$H$2:$I$44,2)="X","SI","NO")</f>
        <v>SI</v>
      </c>
    </row>
    <row r="198" spans="1:5" x14ac:dyDescent="0.3">
      <c r="A198" t="str">
        <f>MID(Tabla1[[#This Row],[ENLACE]],FIND("~",SUBSTITUTE(Tabla1[[#This Row],[ENLACE]],"/","~",2))+1,LEN(Tabla1[[#This Row],[ENLACE]]))</f>
        <v>arsenal-fc</v>
      </c>
      <c r="B198" s="2" t="s">
        <v>20</v>
      </c>
      <c r="C198" t="str">
        <f>_xlfn.TEXTBEFORE(_xlfn.TEXTAFTER(Tabla1[[#This Row],[ENLACE]],"/",1),"/")</f>
        <v>england</v>
      </c>
      <c r="D198" t="str">
        <f>Tabla1[[#This Row],[PAIS]]</f>
        <v>england</v>
      </c>
      <c r="E198" s="8" t="str">
        <f ca="1">IF(VLOOKUP(Tabla1[[#This Row],[DIVISION]],$H$2:$I$44,2)="X","SI","NO")</f>
        <v>SI</v>
      </c>
    </row>
    <row r="199" spans="1:5" x14ac:dyDescent="0.3">
      <c r="A199" t="str">
        <f>MID(Tabla1[[#This Row],[ENLACE]],FIND("~",SUBSTITUTE(Tabla1[[#This Row],[ENLACE]],"/","~",2))+1,LEN(Tabla1[[#This Row],[ENLACE]]))</f>
        <v>aston-villa-fc</v>
      </c>
      <c r="B199" s="5" t="s">
        <v>21</v>
      </c>
      <c r="C199" t="str">
        <f>_xlfn.TEXTBEFORE(_xlfn.TEXTAFTER(Tabla1[[#This Row],[ENLACE]],"/",1),"/")</f>
        <v>england</v>
      </c>
      <c r="D199" t="str">
        <f>Tabla1[[#This Row],[PAIS]]</f>
        <v>england</v>
      </c>
      <c r="E199" s="8" t="str">
        <f ca="1">IF(VLOOKUP(Tabla1[[#This Row],[DIVISION]],$H$2:$I$44,2)="X","SI","NO")</f>
        <v>SI</v>
      </c>
    </row>
    <row r="200" spans="1:5" x14ac:dyDescent="0.3">
      <c r="A200" t="str">
        <f>MID(Tabla1[[#This Row],[ENLACE]],FIND("~",SUBSTITUTE(Tabla1[[#This Row],[ENLACE]],"/","~",2))+1,LEN(Tabla1[[#This Row],[ENLACE]]))</f>
        <v>afc-bournemouth</v>
      </c>
      <c r="B200" s="2" t="s">
        <v>22</v>
      </c>
      <c r="C200" t="str">
        <f>_xlfn.TEXTBEFORE(_xlfn.TEXTAFTER(Tabla1[[#This Row],[ENLACE]],"/",1),"/")</f>
        <v>england</v>
      </c>
      <c r="D200" t="str">
        <f>Tabla1[[#This Row],[PAIS]]</f>
        <v>england</v>
      </c>
      <c r="E200" s="8" t="str">
        <f ca="1">IF(VLOOKUP(Tabla1[[#This Row],[DIVISION]],$H$2:$I$44,2)="X","SI","NO")</f>
        <v>SI</v>
      </c>
    </row>
    <row r="201" spans="1:5" x14ac:dyDescent="0.3">
      <c r="A201" t="str">
        <f>MID(Tabla1[[#This Row],[ENLACE]],FIND("~",SUBSTITUTE(Tabla1[[#This Row],[ENLACE]],"/","~",2))+1,LEN(Tabla1[[#This Row],[ENLACE]]))</f>
        <v>brentford-fc</v>
      </c>
      <c r="B201" s="5" t="s">
        <v>23</v>
      </c>
      <c r="C201" t="str">
        <f>_xlfn.TEXTBEFORE(_xlfn.TEXTAFTER(Tabla1[[#This Row],[ENLACE]],"/",1),"/")</f>
        <v>england</v>
      </c>
      <c r="D201" t="str">
        <f>Tabla1[[#This Row],[PAIS]]</f>
        <v>england</v>
      </c>
      <c r="E201" s="8" t="str">
        <f ca="1">IF(VLOOKUP(Tabla1[[#This Row],[DIVISION]],$H$2:$I$44,2)="X","SI","NO")</f>
        <v>SI</v>
      </c>
    </row>
    <row r="202" spans="1:5" x14ac:dyDescent="0.3">
      <c r="A202" t="str">
        <f>MID(Tabla1[[#This Row],[ENLACE]],FIND("~",SUBSTITUTE(Tabla1[[#This Row],[ENLACE]],"/","~",2))+1,LEN(Tabla1[[#This Row],[ENLACE]]))</f>
        <v>brighton-hove-albion-fc</v>
      </c>
      <c r="B202" s="2" t="s">
        <v>24</v>
      </c>
      <c r="C202" t="str">
        <f>_xlfn.TEXTBEFORE(_xlfn.TEXTAFTER(Tabla1[[#This Row],[ENLACE]],"/",1),"/")</f>
        <v>england</v>
      </c>
      <c r="D202" t="str">
        <f>Tabla1[[#This Row],[PAIS]]</f>
        <v>england</v>
      </c>
      <c r="E202" s="8" t="str">
        <f ca="1">IF(VLOOKUP(Tabla1[[#This Row],[DIVISION]],$H$2:$I$44,2)="X","SI","NO")</f>
        <v>SI</v>
      </c>
    </row>
    <row r="203" spans="1:5" x14ac:dyDescent="0.3">
      <c r="A203" t="str">
        <f>MID(Tabla1[[#This Row],[ENLACE]],FIND("~",SUBSTITUTE(Tabla1[[#This Row],[ENLACE]],"/","~",2))+1,LEN(Tabla1[[#This Row],[ENLACE]]))</f>
        <v>chelsea-fc</v>
      </c>
      <c r="B203" s="5" t="s">
        <v>26</v>
      </c>
      <c r="C203" t="str">
        <f>_xlfn.TEXTBEFORE(_xlfn.TEXTAFTER(Tabla1[[#This Row],[ENLACE]],"/",1),"/")</f>
        <v>england</v>
      </c>
      <c r="D203" t="str">
        <f>Tabla1[[#This Row],[PAIS]]</f>
        <v>england</v>
      </c>
      <c r="E203" s="8" t="str">
        <f ca="1">IF(VLOOKUP(Tabla1[[#This Row],[DIVISION]],$H$2:$I$44,2)="X","SI","NO")</f>
        <v>SI</v>
      </c>
    </row>
    <row r="204" spans="1:5" x14ac:dyDescent="0.3">
      <c r="A204" t="str">
        <f>MID(Tabla1[[#This Row],[ENLACE]],FIND("~",SUBSTITUTE(Tabla1[[#This Row],[ENLACE]],"/","~",2))+1,LEN(Tabla1[[#This Row],[ENLACE]]))</f>
        <v>coventry-city-fc</v>
      </c>
      <c r="B204" s="2" t="s">
        <v>210</v>
      </c>
      <c r="C204" t="str">
        <f>_xlfn.TEXTBEFORE(_xlfn.TEXTAFTER(Tabla1[[#This Row],[ENLACE]],"/",1),"/")</f>
        <v>england</v>
      </c>
      <c r="D204" t="str">
        <f>Tabla1[[#This Row],[PAIS]]</f>
        <v>england</v>
      </c>
      <c r="E204" s="8" t="str">
        <f ca="1">IF(VLOOKUP(Tabla1[[#This Row],[DIVISION]],$H$2:$I$44,2)="X","SI","NO")</f>
        <v>SI</v>
      </c>
    </row>
    <row r="205" spans="1:5" x14ac:dyDescent="0.3">
      <c r="A205" t="str">
        <f>MID(Tabla1[[#This Row],[ENLACE]],FIND("~",SUBSTITUTE(Tabla1[[#This Row],[ENLACE]],"/","~",2))+1,LEN(Tabla1[[#This Row],[ENLACE]]))</f>
        <v>crystal-palace-fc</v>
      </c>
      <c r="B205" s="5" t="s">
        <v>27</v>
      </c>
      <c r="C205" t="str">
        <f>_xlfn.TEXTBEFORE(_xlfn.TEXTAFTER(Tabla1[[#This Row],[ENLACE]],"/",1),"/")</f>
        <v>england</v>
      </c>
      <c r="D205" t="str">
        <f>Tabla1[[#This Row],[PAIS]]</f>
        <v>england</v>
      </c>
      <c r="E205" s="8" t="str">
        <f ca="1">IF(VLOOKUP(Tabla1[[#This Row],[DIVISION]],$H$2:$I$44,2)="X","SI","NO")</f>
        <v>SI</v>
      </c>
    </row>
    <row r="206" spans="1:5" x14ac:dyDescent="0.3">
      <c r="A206" t="str">
        <f>MID(Tabla1[[#This Row],[ENLACE]],FIND("~",SUBSTITUTE(Tabla1[[#This Row],[ENLACE]],"/","~",2))+1,LEN(Tabla1[[#This Row],[ENLACE]]))</f>
        <v>everton-fc</v>
      </c>
      <c r="B206" s="2" t="s">
        <v>28</v>
      </c>
      <c r="C206" t="str">
        <f>_xlfn.TEXTBEFORE(_xlfn.TEXTAFTER(Tabla1[[#This Row],[ENLACE]],"/",1),"/")</f>
        <v>england</v>
      </c>
      <c r="D206" t="str">
        <f>Tabla1[[#This Row],[PAIS]]</f>
        <v>england</v>
      </c>
      <c r="E206" s="8" t="str">
        <f ca="1">IF(VLOOKUP(Tabla1[[#This Row],[DIVISION]],$H$2:$I$44,2)="X","SI","NO")</f>
        <v>SI</v>
      </c>
    </row>
    <row r="207" spans="1:5" x14ac:dyDescent="0.3">
      <c r="A207" t="str">
        <f>MID(Tabla1[[#This Row],[ENLACE]],FIND("~",SUBSTITUTE(Tabla1[[#This Row],[ENLACE]],"/","~",2))+1,LEN(Tabla1[[#This Row],[ENLACE]]))</f>
        <v>fulham-fc</v>
      </c>
      <c r="B207" s="5" t="s">
        <v>29</v>
      </c>
      <c r="C207" t="str">
        <f>_xlfn.TEXTBEFORE(_xlfn.TEXTAFTER(Tabla1[[#This Row],[ENLACE]],"/",1),"/")</f>
        <v>england</v>
      </c>
      <c r="D207" t="str">
        <f>Tabla1[[#This Row],[PAIS]]</f>
        <v>england</v>
      </c>
      <c r="E207" s="8" t="str">
        <f ca="1">IF(VLOOKUP(Tabla1[[#This Row],[DIVISION]],$H$2:$I$44,2)="X","SI","NO")</f>
        <v>SI</v>
      </c>
    </row>
    <row r="208" spans="1:5" x14ac:dyDescent="0.3">
      <c r="A208" t="str">
        <f>MID(Tabla1[[#This Row],[ENLACE]],FIND("~",SUBSTITUTE(Tabla1[[#This Row],[ENLACE]],"/","~",2))+1,LEN(Tabla1[[#This Row],[ENLACE]]))</f>
        <v>hull-city-fc</v>
      </c>
      <c r="B208" s="2" t="s">
        <v>212</v>
      </c>
      <c r="C208" t="str">
        <f>_xlfn.TEXTBEFORE(_xlfn.TEXTAFTER(Tabla1[[#This Row],[ENLACE]],"/",1),"/")</f>
        <v>england</v>
      </c>
      <c r="D208" t="str">
        <f>Tabla1[[#This Row],[PAIS]]</f>
        <v>england</v>
      </c>
      <c r="E208" s="8" t="str">
        <f ca="1">IF(VLOOKUP(Tabla1[[#This Row],[DIVISION]],$H$2:$I$44,2)="X","SI","NO")</f>
        <v>SI</v>
      </c>
    </row>
    <row r="209" spans="1:5" x14ac:dyDescent="0.3">
      <c r="A209" t="str">
        <f>MID(Tabla1[[#This Row],[ENLACE]],FIND("~",SUBSTITUTE(Tabla1[[#This Row],[ENLACE]],"/","~",2))+1,LEN(Tabla1[[#This Row],[ENLACE]]))</f>
        <v>ipswich-town-fc</v>
      </c>
      <c r="B209" s="5" t="s">
        <v>213</v>
      </c>
      <c r="C209" t="str">
        <f>_xlfn.TEXTBEFORE(_xlfn.TEXTAFTER(Tabla1[[#This Row],[ENLACE]],"/",1),"/")</f>
        <v>england</v>
      </c>
      <c r="D209" t="str">
        <f>Tabla1[[#This Row],[PAIS]]</f>
        <v>england</v>
      </c>
      <c r="E209" s="8" t="str">
        <f ca="1">IF(VLOOKUP(Tabla1[[#This Row],[DIVISION]],$H$2:$I$44,2)="X","SI","NO")</f>
        <v>SI</v>
      </c>
    </row>
    <row r="210" spans="1:5" x14ac:dyDescent="0.3">
      <c r="A210" t="str">
        <f>MID(Tabla1[[#This Row],[ENLACE]],FIND("~",SUBSTITUTE(Tabla1[[#This Row],[ENLACE]],"/","~",2))+1,LEN(Tabla1[[#This Row],[ENLACE]]))</f>
        <v>leeds-united-fc</v>
      </c>
      <c r="B210" s="2" t="s">
        <v>30</v>
      </c>
      <c r="C210" t="str">
        <f>_xlfn.TEXTBEFORE(_xlfn.TEXTAFTER(Tabla1[[#This Row],[ENLACE]],"/",1),"/")</f>
        <v>england</v>
      </c>
      <c r="D210" t="str">
        <f>Tabla1[[#This Row],[PAIS]]</f>
        <v>england</v>
      </c>
      <c r="E210" s="8" t="str">
        <f ca="1">IF(VLOOKUP(Tabla1[[#This Row],[DIVISION]],$H$2:$I$44,2)="X","SI","NO")</f>
        <v>SI</v>
      </c>
    </row>
    <row r="211" spans="1:5" x14ac:dyDescent="0.3">
      <c r="A211" t="str">
        <f>MID(Tabla1[[#This Row],[ENLACE]],FIND("~",SUBSTITUTE(Tabla1[[#This Row],[ENLACE]],"/","~",2))+1,LEN(Tabla1[[#This Row],[ENLACE]]))</f>
        <v>liverpool-fc</v>
      </c>
      <c r="B211" s="5" t="s">
        <v>31</v>
      </c>
      <c r="C211" t="str">
        <f>_xlfn.TEXTBEFORE(_xlfn.TEXTAFTER(Tabla1[[#This Row],[ENLACE]],"/",1),"/")</f>
        <v>england</v>
      </c>
      <c r="D211" t="str">
        <f>Tabla1[[#This Row],[PAIS]]</f>
        <v>england</v>
      </c>
      <c r="E211" s="8" t="str">
        <f ca="1">IF(VLOOKUP(Tabla1[[#This Row],[DIVISION]],$H$2:$I$44,2)="X","SI","NO")</f>
        <v>SI</v>
      </c>
    </row>
    <row r="212" spans="1:5" x14ac:dyDescent="0.3">
      <c r="A212" t="str">
        <f>MID(Tabla1[[#This Row],[ENLACE]],FIND("~",SUBSTITUTE(Tabla1[[#This Row],[ENLACE]],"/","~",2))+1,LEN(Tabla1[[#This Row],[ENLACE]]))</f>
        <v>manchester-city-fc</v>
      </c>
      <c r="B212" s="2" t="s">
        <v>32</v>
      </c>
      <c r="C212" t="str">
        <f>_xlfn.TEXTBEFORE(_xlfn.TEXTAFTER(Tabla1[[#This Row],[ENLACE]],"/",1),"/")</f>
        <v>england</v>
      </c>
      <c r="D212" t="str">
        <f>Tabla1[[#This Row],[PAIS]]</f>
        <v>england</v>
      </c>
      <c r="E212" s="8" t="str">
        <f ca="1">IF(VLOOKUP(Tabla1[[#This Row],[DIVISION]],$H$2:$I$44,2)="X","SI","NO")</f>
        <v>SI</v>
      </c>
    </row>
    <row r="213" spans="1:5" x14ac:dyDescent="0.3">
      <c r="A213" t="str">
        <f>MID(Tabla1[[#This Row],[ENLACE]],FIND("~",SUBSTITUTE(Tabla1[[#This Row],[ENLACE]],"/","~",2))+1,LEN(Tabla1[[#This Row],[ENLACE]]))</f>
        <v>manchester-united-fc</v>
      </c>
      <c r="B213" s="5" t="s">
        <v>33</v>
      </c>
      <c r="C213" t="str">
        <f>_xlfn.TEXTBEFORE(_xlfn.TEXTAFTER(Tabla1[[#This Row],[ENLACE]],"/",1),"/")</f>
        <v>england</v>
      </c>
      <c r="D213" t="str">
        <f>Tabla1[[#This Row],[PAIS]]</f>
        <v>england</v>
      </c>
      <c r="E213" s="8" t="str">
        <f ca="1">IF(VLOOKUP(Tabla1[[#This Row],[DIVISION]],$H$2:$I$44,2)="X","SI","NO")</f>
        <v>SI</v>
      </c>
    </row>
    <row r="214" spans="1:5" x14ac:dyDescent="0.3">
      <c r="A214" t="str">
        <f>MID(Tabla1[[#This Row],[ENLACE]],FIND("~",SUBSTITUTE(Tabla1[[#This Row],[ENLACE]],"/","~",2))+1,LEN(Tabla1[[#This Row],[ENLACE]]))</f>
        <v>newcastle-united-fc</v>
      </c>
      <c r="B214" s="2" t="s">
        <v>34</v>
      </c>
      <c r="C214" t="str">
        <f>_xlfn.TEXTBEFORE(_xlfn.TEXTAFTER(Tabla1[[#This Row],[ENLACE]],"/",1),"/")</f>
        <v>england</v>
      </c>
      <c r="D214" t="str">
        <f>Tabla1[[#This Row],[PAIS]]</f>
        <v>england</v>
      </c>
      <c r="E214" s="8" t="str">
        <f ca="1">IF(VLOOKUP(Tabla1[[#This Row],[DIVISION]],$H$2:$I$44,2)="X","SI","NO")</f>
        <v>SI</v>
      </c>
    </row>
    <row r="215" spans="1:5" x14ac:dyDescent="0.3">
      <c r="A215" t="str">
        <f>MID(Tabla1[[#This Row],[ENLACE]],FIND("~",SUBSTITUTE(Tabla1[[#This Row],[ENLACE]],"/","~",2))+1,LEN(Tabla1[[#This Row],[ENLACE]]))</f>
        <v>nottingham-forest-fc</v>
      </c>
      <c r="B215" s="5" t="s">
        <v>35</v>
      </c>
      <c r="C215" t="str">
        <f>_xlfn.TEXTBEFORE(_xlfn.TEXTAFTER(Tabla1[[#This Row],[ENLACE]],"/",1),"/")</f>
        <v>england</v>
      </c>
      <c r="D215" t="str">
        <f>Tabla1[[#This Row],[PAIS]]</f>
        <v>england</v>
      </c>
      <c r="E215" s="8" t="str">
        <f ca="1">IF(VLOOKUP(Tabla1[[#This Row],[DIVISION]],$H$2:$I$44,2)="X","SI","NO")</f>
        <v>SI</v>
      </c>
    </row>
    <row r="216" spans="1:5" x14ac:dyDescent="0.3">
      <c r="A216" t="str">
        <f>MID(Tabla1[[#This Row],[ENLACE]],FIND("~",SUBSTITUTE(Tabla1[[#This Row],[ENLACE]],"/","~",2))+1,LEN(Tabla1[[#This Row],[ENLACE]]))</f>
        <v>sunderland-afc</v>
      </c>
      <c r="B216" s="2" t="s">
        <v>36</v>
      </c>
      <c r="C216" t="str">
        <f>_xlfn.TEXTBEFORE(_xlfn.TEXTAFTER(Tabla1[[#This Row],[ENLACE]],"/",1),"/")</f>
        <v>england</v>
      </c>
      <c r="D216" t="str">
        <f>Tabla1[[#This Row],[PAIS]]</f>
        <v>england</v>
      </c>
      <c r="E216" s="8" t="str">
        <f ca="1">IF(VLOOKUP(Tabla1[[#This Row],[DIVISION]],$H$2:$I$44,2)="X","SI","NO")</f>
        <v>SI</v>
      </c>
    </row>
    <row r="217" spans="1:5" x14ac:dyDescent="0.3">
      <c r="A217" t="str">
        <f>MID(Tabla1[[#This Row],[ENLACE]],FIND("~",SUBSTITUTE(Tabla1[[#This Row],[ENLACE]],"/","~",2))+1,LEN(Tabla1[[#This Row],[ENLACE]]))</f>
        <v>tottenham-hotspur-fc</v>
      </c>
      <c r="B217" s="5" t="s">
        <v>37</v>
      </c>
      <c r="C217" t="str">
        <f>_xlfn.TEXTBEFORE(_xlfn.TEXTAFTER(Tabla1[[#This Row],[ENLACE]],"/",1),"/")</f>
        <v>england</v>
      </c>
      <c r="D217" t="str">
        <f>Tabla1[[#This Row],[PAIS]]</f>
        <v>england</v>
      </c>
      <c r="E217" s="8" t="str">
        <f ca="1">IF(VLOOKUP(Tabla1[[#This Row],[DIVISION]],$H$2:$I$44,2)="X","SI","NO")</f>
        <v>SI</v>
      </c>
    </row>
    <row r="218" spans="1:5" x14ac:dyDescent="0.3">
      <c r="A218" t="str">
        <f>MID(Tabla1[[#This Row],[ENLACE]],FIND("~",SUBSTITUTE(Tabla1[[#This Row],[ENLACE]],"/","~",2))+1,LEN(Tabla1[[#This Row],[ENLACE]]))</f>
        <v>birmingham-city-fc</v>
      </c>
      <c r="B218" s="2" t="s">
        <v>206</v>
      </c>
      <c r="C218" t="str">
        <f>_xlfn.TEXTBEFORE(_xlfn.TEXTAFTER(Tabla1[[#This Row],[ENLACE]],"/",1),"/")</f>
        <v>england</v>
      </c>
      <c r="D218" t="s">
        <v>573</v>
      </c>
      <c r="E218" s="8" t="str">
        <f ca="1">IF(VLOOKUP(Tabla1[[#This Row],[DIVISION]],$H$2:$I$44,2)="X","SI","NO")</f>
        <v>SI</v>
      </c>
    </row>
    <row r="219" spans="1:5" x14ac:dyDescent="0.3">
      <c r="A219" t="str">
        <f>MID(Tabla1[[#This Row],[ENLACE]],FIND("~",SUBSTITUTE(Tabla1[[#This Row],[ENLACE]],"/","~",2))+1,LEN(Tabla1[[#This Row],[ENLACE]]))</f>
        <v>blackburn-rovers-fc</v>
      </c>
      <c r="B219" s="5" t="s">
        <v>207</v>
      </c>
      <c r="C219" t="str">
        <f>_xlfn.TEXTBEFORE(_xlfn.TEXTAFTER(Tabla1[[#This Row],[ENLACE]],"/",1),"/")</f>
        <v>england</v>
      </c>
      <c r="D219" t="s">
        <v>573</v>
      </c>
      <c r="E219" s="8" t="str">
        <f ca="1">IF(VLOOKUP(Tabla1[[#This Row],[DIVISION]],$H$2:$I$44,2)="X","SI","NO")</f>
        <v>SI</v>
      </c>
    </row>
    <row r="220" spans="1:5" x14ac:dyDescent="0.3">
      <c r="A220" t="str">
        <f>MID(Tabla1[[#This Row],[ENLACE]],FIND("~",SUBSTITUTE(Tabla1[[#This Row],[ENLACE]],"/","~",2))+1,LEN(Tabla1[[#This Row],[ENLACE]]))</f>
        <v>bolton-wanderers-fc</v>
      </c>
      <c r="B220" s="2" t="s">
        <v>601</v>
      </c>
      <c r="C220" t="str">
        <f>_xlfn.TEXTBEFORE(_xlfn.TEXTAFTER(Tabla1[[#This Row],[ENLACE]],"/",1),"/")</f>
        <v>england</v>
      </c>
      <c r="D220" t="s">
        <v>573</v>
      </c>
      <c r="E220" s="8" t="str">
        <f ca="1">IF(VLOOKUP(Tabla1[[#This Row],[DIVISION]],$H$2:$I$44,2)="X","SI","NO")</f>
        <v>SI</v>
      </c>
    </row>
    <row r="221" spans="1:5" x14ac:dyDescent="0.3">
      <c r="A221" t="str">
        <f>MID(Tabla1[[#This Row],[ENLACE]],FIND("~",SUBSTITUTE(Tabla1[[#This Row],[ENLACE]],"/","~",2))+1,LEN(Tabla1[[#This Row],[ENLACE]]))</f>
        <v>bristol-city-fc</v>
      </c>
      <c r="B221" s="5" t="s">
        <v>208</v>
      </c>
      <c r="C221" t="str">
        <f>_xlfn.TEXTBEFORE(_xlfn.TEXTAFTER(Tabla1[[#This Row],[ENLACE]],"/",1),"/")</f>
        <v>england</v>
      </c>
      <c r="D221" t="s">
        <v>573</v>
      </c>
      <c r="E221" s="8" t="str">
        <f ca="1">IF(VLOOKUP(Tabla1[[#This Row],[DIVISION]],$H$2:$I$44,2)="X","SI","NO")</f>
        <v>SI</v>
      </c>
    </row>
    <row r="222" spans="1:5" x14ac:dyDescent="0.3">
      <c r="A222" t="str">
        <f>MID(Tabla1[[#This Row],[ENLACE]],FIND("~",SUBSTITUTE(Tabla1[[#This Row],[ENLACE]],"/","~",2))+1,LEN(Tabla1[[#This Row],[ENLACE]]))</f>
        <v>burnley-fc</v>
      </c>
      <c r="B222" s="2" t="s">
        <v>25</v>
      </c>
      <c r="C222" t="str">
        <f>_xlfn.TEXTBEFORE(_xlfn.TEXTAFTER(Tabla1[[#This Row],[ENLACE]],"/",1),"/")</f>
        <v>england</v>
      </c>
      <c r="D222" t="s">
        <v>573</v>
      </c>
      <c r="E222" s="8" t="str">
        <f ca="1">IF(VLOOKUP(Tabla1[[#This Row],[DIVISION]],$H$2:$I$44,2)="X","SI","NO")</f>
        <v>SI</v>
      </c>
    </row>
    <row r="223" spans="1:5" x14ac:dyDescent="0.3">
      <c r="A223" t="str">
        <f>MID(Tabla1[[#This Row],[ENLACE]],FIND("~",SUBSTITUTE(Tabla1[[#This Row],[ENLACE]],"/","~",2))+1,LEN(Tabla1[[#This Row],[ENLACE]]))</f>
        <v>cardiff-city-fc</v>
      </c>
      <c r="B223" s="5" t="s">
        <v>602</v>
      </c>
      <c r="C223" t="str">
        <f>_xlfn.TEXTBEFORE(_xlfn.TEXTAFTER(Tabla1[[#This Row],[ENLACE]],"/",1),"/")</f>
        <v>england</v>
      </c>
      <c r="D223" t="s">
        <v>573</v>
      </c>
      <c r="E223" s="8" t="str">
        <f ca="1">IF(VLOOKUP(Tabla1[[#This Row],[DIVISION]],$H$2:$I$44,2)="X","SI","NO")</f>
        <v>SI</v>
      </c>
    </row>
    <row r="224" spans="1:5" x14ac:dyDescent="0.3">
      <c r="A224" t="str">
        <f>MID(Tabla1[[#This Row],[ENLACE]],FIND("~",SUBSTITUTE(Tabla1[[#This Row],[ENLACE]],"/","~",2))+1,LEN(Tabla1[[#This Row],[ENLACE]]))</f>
        <v>charlton-athletic-fc</v>
      </c>
      <c r="B224" s="2" t="s">
        <v>209</v>
      </c>
      <c r="C224" t="str">
        <f>_xlfn.TEXTBEFORE(_xlfn.TEXTAFTER(Tabla1[[#This Row],[ENLACE]],"/",1),"/")</f>
        <v>england</v>
      </c>
      <c r="D224" t="s">
        <v>573</v>
      </c>
      <c r="E224" s="8" t="str">
        <f ca="1">IF(VLOOKUP(Tabla1[[#This Row],[DIVISION]],$H$2:$I$44,2)="X","SI","NO")</f>
        <v>SI</v>
      </c>
    </row>
    <row r="225" spans="1:5" x14ac:dyDescent="0.3">
      <c r="A225" t="str">
        <f>MID(Tabla1[[#This Row],[ENLACE]],FIND("~",SUBSTITUTE(Tabla1[[#This Row],[ENLACE]],"/","~",2))+1,LEN(Tabla1[[#This Row],[ENLACE]]))</f>
        <v>derby-county-fc</v>
      </c>
      <c r="B225" s="5" t="s">
        <v>211</v>
      </c>
      <c r="C225" t="str">
        <f>_xlfn.TEXTBEFORE(_xlfn.TEXTAFTER(Tabla1[[#This Row],[ENLACE]],"/",1),"/")</f>
        <v>england</v>
      </c>
      <c r="D225" t="s">
        <v>573</v>
      </c>
      <c r="E225" s="8" t="str">
        <f ca="1">IF(VLOOKUP(Tabla1[[#This Row],[DIVISION]],$H$2:$I$44,2)="X","SI","NO")</f>
        <v>SI</v>
      </c>
    </row>
    <row r="226" spans="1:5" x14ac:dyDescent="0.3">
      <c r="A226" t="str">
        <f>MID(Tabla1[[#This Row],[ENLACE]],FIND("~",SUBSTITUTE(Tabla1[[#This Row],[ENLACE]],"/","~",2))+1,LEN(Tabla1[[#This Row],[ENLACE]]))</f>
        <v>lincoln-city-fc</v>
      </c>
      <c r="B226" s="2" t="s">
        <v>603</v>
      </c>
      <c r="C226" t="str">
        <f>_xlfn.TEXTBEFORE(_xlfn.TEXTAFTER(Tabla1[[#This Row],[ENLACE]],"/",1),"/")</f>
        <v>england</v>
      </c>
      <c r="D226" t="s">
        <v>573</v>
      </c>
      <c r="E226" s="8" t="str">
        <f ca="1">IF(VLOOKUP(Tabla1[[#This Row],[DIVISION]],$H$2:$I$44,2)="X","SI","NO")</f>
        <v>SI</v>
      </c>
    </row>
    <row r="227" spans="1:5" x14ac:dyDescent="0.3">
      <c r="A227" t="str">
        <f>MID(Tabla1[[#This Row],[ENLACE]],FIND("~",SUBSTITUTE(Tabla1[[#This Row],[ENLACE]],"/","~",2))+1,LEN(Tabla1[[#This Row],[ENLACE]]))</f>
        <v>middlesbrough-fc</v>
      </c>
      <c r="B227" s="5" t="s">
        <v>214</v>
      </c>
      <c r="C227" t="str">
        <f>_xlfn.TEXTBEFORE(_xlfn.TEXTAFTER(Tabla1[[#This Row],[ENLACE]],"/",1),"/")</f>
        <v>england</v>
      </c>
      <c r="D227" t="s">
        <v>573</v>
      </c>
      <c r="E227" s="8" t="str">
        <f ca="1">IF(VLOOKUP(Tabla1[[#This Row],[DIVISION]],$H$2:$I$44,2)="X","SI","NO")</f>
        <v>SI</v>
      </c>
    </row>
    <row r="228" spans="1:5" x14ac:dyDescent="0.3">
      <c r="A228" t="str">
        <f>MID(Tabla1[[#This Row],[ENLACE]],FIND("~",SUBSTITUTE(Tabla1[[#This Row],[ENLACE]],"/","~",2))+1,LEN(Tabla1[[#This Row],[ENLACE]]))</f>
        <v>millwall-fc</v>
      </c>
      <c r="B228" s="2" t="s">
        <v>215</v>
      </c>
      <c r="C228" t="str">
        <f>_xlfn.TEXTBEFORE(_xlfn.TEXTAFTER(Tabla1[[#This Row],[ENLACE]],"/",1),"/")</f>
        <v>england</v>
      </c>
      <c r="D228" t="s">
        <v>573</v>
      </c>
      <c r="E228" s="8" t="str">
        <f ca="1">IF(VLOOKUP(Tabla1[[#This Row],[DIVISION]],$H$2:$I$44,2)="X","SI","NO")</f>
        <v>SI</v>
      </c>
    </row>
    <row r="229" spans="1:5" x14ac:dyDescent="0.3">
      <c r="A229" t="str">
        <f>MID(Tabla1[[#This Row],[ENLACE]],FIND("~",SUBSTITUTE(Tabla1[[#This Row],[ENLACE]],"/","~",2))+1,LEN(Tabla1[[#This Row],[ENLACE]]))</f>
        <v>norwich-city-fc</v>
      </c>
      <c r="B229" s="5" t="s">
        <v>216</v>
      </c>
      <c r="C229" t="str">
        <f>_xlfn.TEXTBEFORE(_xlfn.TEXTAFTER(Tabla1[[#This Row],[ENLACE]],"/",1),"/")</f>
        <v>england</v>
      </c>
      <c r="D229" t="s">
        <v>573</v>
      </c>
      <c r="E229" s="8" t="str">
        <f ca="1">IF(VLOOKUP(Tabla1[[#This Row],[DIVISION]],$H$2:$I$44,2)="X","SI","NO")</f>
        <v>SI</v>
      </c>
    </row>
    <row r="230" spans="1:5" x14ac:dyDescent="0.3">
      <c r="A230" t="str">
        <f>MID(Tabla1[[#This Row],[ENLACE]],FIND("~",SUBSTITUTE(Tabla1[[#This Row],[ENLACE]],"/","~",2))+1,LEN(Tabla1[[#This Row],[ENLACE]]))</f>
        <v>portsmouth-fc</v>
      </c>
      <c r="B230" s="2" t="s">
        <v>217</v>
      </c>
      <c r="C230" t="str">
        <f>_xlfn.TEXTBEFORE(_xlfn.TEXTAFTER(Tabla1[[#This Row],[ENLACE]],"/",1),"/")</f>
        <v>england</v>
      </c>
      <c r="D230" t="s">
        <v>573</v>
      </c>
      <c r="E230" s="8" t="str">
        <f ca="1">IF(VLOOKUP(Tabla1[[#This Row],[DIVISION]],$H$2:$I$44,2)="X","SI","NO")</f>
        <v>SI</v>
      </c>
    </row>
    <row r="231" spans="1:5" x14ac:dyDescent="0.3">
      <c r="A231" t="str">
        <f>MID(Tabla1[[#This Row],[ENLACE]],FIND("~",SUBSTITUTE(Tabla1[[#This Row],[ENLACE]],"/","~",2))+1,LEN(Tabla1[[#This Row],[ENLACE]]))</f>
        <v>preston-north-end-fc</v>
      </c>
      <c r="B231" s="5" t="s">
        <v>218</v>
      </c>
      <c r="C231" t="str">
        <f>_xlfn.TEXTBEFORE(_xlfn.TEXTAFTER(Tabla1[[#This Row],[ENLACE]],"/",1),"/")</f>
        <v>england</v>
      </c>
      <c r="D231" t="s">
        <v>573</v>
      </c>
      <c r="E231" s="8" t="str">
        <f ca="1">IF(VLOOKUP(Tabla1[[#This Row],[DIVISION]],$H$2:$I$44,2)="X","SI","NO")</f>
        <v>SI</v>
      </c>
    </row>
    <row r="232" spans="1:5" x14ac:dyDescent="0.3">
      <c r="A232" t="str">
        <f>MID(Tabla1[[#This Row],[ENLACE]],FIND("~",SUBSTITUTE(Tabla1[[#This Row],[ENLACE]],"/","~",2))+1,LEN(Tabla1[[#This Row],[ENLACE]]))</f>
        <v>queens-park-rangers-fc</v>
      </c>
      <c r="B232" s="2" t="s">
        <v>219</v>
      </c>
      <c r="C232" t="str">
        <f>_xlfn.TEXTBEFORE(_xlfn.TEXTAFTER(Tabla1[[#This Row],[ENLACE]],"/",1),"/")</f>
        <v>england</v>
      </c>
      <c r="D232" t="s">
        <v>573</v>
      </c>
      <c r="E232" s="8" t="str">
        <f ca="1">IF(VLOOKUP(Tabla1[[#This Row],[DIVISION]],$H$2:$I$44,2)="X","SI","NO")</f>
        <v>SI</v>
      </c>
    </row>
    <row r="233" spans="1:5" x14ac:dyDescent="0.3">
      <c r="A233" t="str">
        <f>MID(Tabla1[[#This Row],[ENLACE]],FIND("~",SUBSTITUTE(Tabla1[[#This Row],[ENLACE]],"/","~",2))+1,LEN(Tabla1[[#This Row],[ENLACE]]))</f>
        <v>sheffield-united-fc</v>
      </c>
      <c r="B233" s="5" t="s">
        <v>220</v>
      </c>
      <c r="C233" t="str">
        <f>_xlfn.TEXTBEFORE(_xlfn.TEXTAFTER(Tabla1[[#This Row],[ENLACE]],"/",1),"/")</f>
        <v>england</v>
      </c>
      <c r="D233" t="s">
        <v>573</v>
      </c>
      <c r="E233" s="8" t="str">
        <f ca="1">IF(VLOOKUP(Tabla1[[#This Row],[DIVISION]],$H$2:$I$44,2)="X","SI","NO")</f>
        <v>SI</v>
      </c>
    </row>
    <row r="234" spans="1:5" x14ac:dyDescent="0.3">
      <c r="A234" t="str">
        <f>MID(Tabla1[[#This Row],[ENLACE]],FIND("~",SUBSTITUTE(Tabla1[[#This Row],[ENLACE]],"/","~",2))+1,LEN(Tabla1[[#This Row],[ENLACE]]))</f>
        <v>southampton-fc</v>
      </c>
      <c r="B234" s="2" t="s">
        <v>221</v>
      </c>
      <c r="C234" t="str">
        <f>_xlfn.TEXTBEFORE(_xlfn.TEXTAFTER(Tabla1[[#This Row],[ENLACE]],"/",1),"/")</f>
        <v>england</v>
      </c>
      <c r="D234" t="s">
        <v>573</v>
      </c>
      <c r="E234" s="8" t="str">
        <f ca="1">IF(VLOOKUP(Tabla1[[#This Row],[DIVISION]],$H$2:$I$44,2)="X","SI","NO")</f>
        <v>SI</v>
      </c>
    </row>
    <row r="235" spans="1:5" x14ac:dyDescent="0.3">
      <c r="A235" t="str">
        <f>MID(Tabla1[[#This Row],[ENLACE]],FIND("~",SUBSTITUTE(Tabla1[[#This Row],[ENLACE]],"/","~",2))+1,LEN(Tabla1[[#This Row],[ENLACE]]))</f>
        <v>stoke-city-fc</v>
      </c>
      <c r="B235" s="5" t="s">
        <v>222</v>
      </c>
      <c r="C235" t="str">
        <f>_xlfn.TEXTBEFORE(_xlfn.TEXTAFTER(Tabla1[[#This Row],[ENLACE]],"/",1),"/")</f>
        <v>england</v>
      </c>
      <c r="D235" t="s">
        <v>573</v>
      </c>
      <c r="E235" s="8" t="str">
        <f ca="1">IF(VLOOKUP(Tabla1[[#This Row],[DIVISION]],$H$2:$I$44,2)="X","SI","NO")</f>
        <v>SI</v>
      </c>
    </row>
    <row r="236" spans="1:5" x14ac:dyDescent="0.3">
      <c r="A236" t="str">
        <f>MID(Tabla1[[#This Row],[ENLACE]],FIND("~",SUBSTITUTE(Tabla1[[#This Row],[ENLACE]],"/","~",2))+1,LEN(Tabla1[[#This Row],[ENLACE]]))</f>
        <v>swansea-city-afc</v>
      </c>
      <c r="B236" s="2" t="s">
        <v>223</v>
      </c>
      <c r="C236" t="str">
        <f>_xlfn.TEXTBEFORE(_xlfn.TEXTAFTER(Tabla1[[#This Row],[ENLACE]],"/",1),"/")</f>
        <v>england</v>
      </c>
      <c r="D236" t="s">
        <v>573</v>
      </c>
      <c r="E236" s="8" t="str">
        <f ca="1">IF(VLOOKUP(Tabla1[[#This Row],[DIVISION]],$H$2:$I$44,2)="X","SI","NO")</f>
        <v>SI</v>
      </c>
    </row>
    <row r="237" spans="1:5" x14ac:dyDescent="0.3">
      <c r="A237" t="str">
        <f>MID(Tabla1[[#This Row],[ENLACE]],FIND("~",SUBSTITUTE(Tabla1[[#This Row],[ENLACE]],"/","~",2))+1,LEN(Tabla1[[#This Row],[ENLACE]]))</f>
        <v>watford-fc</v>
      </c>
      <c r="B237" s="5" t="s">
        <v>224</v>
      </c>
      <c r="C237" t="str">
        <f>_xlfn.TEXTBEFORE(_xlfn.TEXTAFTER(Tabla1[[#This Row],[ENLACE]],"/",1),"/")</f>
        <v>england</v>
      </c>
      <c r="D237" t="s">
        <v>573</v>
      </c>
      <c r="E237" s="8" t="str">
        <f ca="1">IF(VLOOKUP(Tabla1[[#This Row],[DIVISION]],$H$2:$I$44,2)="X","SI","NO")</f>
        <v>SI</v>
      </c>
    </row>
    <row r="238" spans="1:5" x14ac:dyDescent="0.3">
      <c r="A238" t="str">
        <f>MID(Tabla1[[#This Row],[ENLACE]],FIND("~",SUBSTITUTE(Tabla1[[#This Row],[ENLACE]],"/","~",2))+1,LEN(Tabla1[[#This Row],[ENLACE]]))</f>
        <v>west-bromwich-albion-fc</v>
      </c>
      <c r="B238" s="2" t="s">
        <v>225</v>
      </c>
      <c r="C238" t="str">
        <f>_xlfn.TEXTBEFORE(_xlfn.TEXTAFTER(Tabla1[[#This Row],[ENLACE]],"/",1),"/")</f>
        <v>england</v>
      </c>
      <c r="D238" t="s">
        <v>573</v>
      </c>
      <c r="E238" s="8" t="str">
        <f ca="1">IF(VLOOKUP(Tabla1[[#This Row],[DIVISION]],$H$2:$I$44,2)="X","SI","NO")</f>
        <v>SI</v>
      </c>
    </row>
    <row r="239" spans="1:5" x14ac:dyDescent="0.3">
      <c r="A239" t="str">
        <f>MID(Tabla1[[#This Row],[ENLACE]],FIND("~",SUBSTITUTE(Tabla1[[#This Row],[ENLACE]],"/","~",2))+1,LEN(Tabla1[[#This Row],[ENLACE]]))</f>
        <v>west-ham-united-fc</v>
      </c>
      <c r="B239" s="5" t="s">
        <v>38</v>
      </c>
      <c r="C239" t="str">
        <f>_xlfn.TEXTBEFORE(_xlfn.TEXTAFTER(Tabla1[[#This Row],[ENLACE]],"/",1),"/")</f>
        <v>england</v>
      </c>
      <c r="D239" t="s">
        <v>573</v>
      </c>
      <c r="E239" s="8" t="str">
        <f ca="1">IF(VLOOKUP(Tabla1[[#This Row],[DIVISION]],$H$2:$I$44,2)="X","SI","NO")</f>
        <v>SI</v>
      </c>
    </row>
    <row r="240" spans="1:5" x14ac:dyDescent="0.3">
      <c r="A240" t="str">
        <f>MID(Tabla1[[#This Row],[ENLACE]],FIND("~",SUBSTITUTE(Tabla1[[#This Row],[ENLACE]],"/","~",2))+1,LEN(Tabla1[[#This Row],[ENLACE]]))</f>
        <v>wolverhampton-wanderers-fc</v>
      </c>
      <c r="B240" s="2" t="s">
        <v>39</v>
      </c>
      <c r="C240" t="str">
        <f>_xlfn.TEXTBEFORE(_xlfn.TEXTAFTER(Tabla1[[#This Row],[ENLACE]],"/",1),"/")</f>
        <v>england</v>
      </c>
      <c r="D240" t="s">
        <v>573</v>
      </c>
      <c r="E240" s="8" t="str">
        <f ca="1">IF(VLOOKUP(Tabla1[[#This Row],[DIVISION]],$H$2:$I$44,2)="X","SI","NO")</f>
        <v>SI</v>
      </c>
    </row>
    <row r="241" spans="1:5" x14ac:dyDescent="0.3">
      <c r="A241" t="str">
        <f>MID(Tabla1[[#This Row],[ENLACE]],FIND("~",SUBSTITUTE(Tabla1[[#This Row],[ENLACE]],"/","~",2))+1,LEN(Tabla1[[#This Row],[ENLACE]]))</f>
        <v>wrexham-afc</v>
      </c>
      <c r="B241" s="5" t="s">
        <v>226</v>
      </c>
      <c r="C241" t="str">
        <f>_xlfn.TEXTBEFORE(_xlfn.TEXTAFTER(Tabla1[[#This Row],[ENLACE]],"/",1),"/")</f>
        <v>england</v>
      </c>
      <c r="D241" t="s">
        <v>573</v>
      </c>
      <c r="E241" s="8" t="str">
        <f ca="1">IF(VLOOKUP(Tabla1[[#This Row],[DIVISION]],$H$2:$I$44,2)="X","SI","NO")</f>
        <v>SI</v>
      </c>
    </row>
    <row r="242" spans="1:5" x14ac:dyDescent="0.3">
      <c r="A242" t="str">
        <f>MID(Tabla1[[#This Row],[ENLACE]],FIND("~",SUBSTITUTE(Tabla1[[#This Row],[ENLACE]],"/","~",2))+1,LEN(Tabla1[[#This Row],[ENLACE]]))</f>
        <v>if-gnistan</v>
      </c>
      <c r="B242" s="5" t="s">
        <v>513</v>
      </c>
      <c r="C242" t="str">
        <f>_xlfn.TEXTBEFORE(_xlfn.TEXTAFTER(Tabla1[[#This Row],[ENLACE]],"/",1),"/")</f>
        <v>finland</v>
      </c>
      <c r="D242" t="str">
        <f>Tabla1[[#This Row],[PAIS]]</f>
        <v>finland</v>
      </c>
      <c r="E242" s="8" t="str">
        <f ca="1">IF(VLOOKUP(Tabla1[[#This Row],[DIVISION]],$H$2:$I$44,2)="X","SI","NO")</f>
        <v>SI</v>
      </c>
    </row>
    <row r="243" spans="1:5" x14ac:dyDescent="0.3">
      <c r="A243" t="str">
        <f>MID(Tabla1[[#This Row],[ENLACE]],FIND("~",SUBSTITUTE(Tabla1[[#This Row],[ENLACE]],"/","~",2))+1,LEN(Tabla1[[#This Row],[ENLACE]]))</f>
        <v>hjk-helsinki</v>
      </c>
      <c r="B243" s="5" t="s">
        <v>514</v>
      </c>
      <c r="C243" t="str">
        <f>_xlfn.TEXTBEFORE(_xlfn.TEXTAFTER(Tabla1[[#This Row],[ENLACE]],"/",1),"/")</f>
        <v>finland</v>
      </c>
      <c r="D243" t="str">
        <f>Tabla1[[#This Row],[PAIS]]</f>
        <v>finland</v>
      </c>
      <c r="E243" s="8" t="str">
        <f ca="1">IF(VLOOKUP(Tabla1[[#This Row],[DIVISION]],$H$2:$I$44,2)="X","SI","NO")</f>
        <v>SI</v>
      </c>
    </row>
    <row r="244" spans="1:5" x14ac:dyDescent="0.3">
      <c r="A244" t="str">
        <f>MID(Tabla1[[#This Row],[ENLACE]],FIND("~",SUBSTITUTE(Tabla1[[#This Row],[ENLACE]],"/","~",2))+1,LEN(Tabla1[[#This Row],[ENLACE]]))</f>
        <v>fc-ilves</v>
      </c>
      <c r="B244" s="5" t="s">
        <v>515</v>
      </c>
      <c r="C244" t="str">
        <f>_xlfn.TEXTBEFORE(_xlfn.TEXTAFTER(Tabla1[[#This Row],[ENLACE]],"/",1),"/")</f>
        <v>finland</v>
      </c>
      <c r="D244" t="str">
        <f>Tabla1[[#This Row],[PAIS]]</f>
        <v>finland</v>
      </c>
      <c r="E244" s="8" t="str">
        <f ca="1">IF(VLOOKUP(Tabla1[[#This Row],[DIVISION]],$H$2:$I$44,2)="X","SI","NO")</f>
        <v>SI</v>
      </c>
    </row>
    <row r="245" spans="1:5" x14ac:dyDescent="0.3">
      <c r="A245" t="str">
        <f>MID(Tabla1[[#This Row],[ENLACE]],FIND("~",SUBSTITUTE(Tabla1[[#This Row],[ENLACE]],"/","~",2))+1,LEN(Tabla1[[#This Row],[ENLACE]]))</f>
        <v>fc-inter-turku</v>
      </c>
      <c r="B245" s="5" t="s">
        <v>516</v>
      </c>
      <c r="C245" t="str">
        <f>_xlfn.TEXTBEFORE(_xlfn.TEXTAFTER(Tabla1[[#This Row],[ENLACE]],"/",1),"/")</f>
        <v>finland</v>
      </c>
      <c r="D245" t="str">
        <f>Tabla1[[#This Row],[PAIS]]</f>
        <v>finland</v>
      </c>
      <c r="E245" s="8" t="str">
        <f ca="1">IF(VLOOKUP(Tabla1[[#This Row],[DIVISION]],$H$2:$I$44,2)="X","SI","NO")</f>
        <v>SI</v>
      </c>
    </row>
    <row r="246" spans="1:5" x14ac:dyDescent="0.3">
      <c r="A246" t="str">
        <f>MID(Tabla1[[#This Row],[ENLACE]],FIND("~",SUBSTITUTE(Tabla1[[#This Row],[ENLACE]],"/","~",2))+1,LEN(Tabla1[[#This Row],[ENLACE]]))</f>
        <v>ff-jaro</v>
      </c>
      <c r="B246" s="5" t="s">
        <v>517</v>
      </c>
      <c r="C246" t="str">
        <f>_xlfn.TEXTBEFORE(_xlfn.TEXTAFTER(Tabla1[[#This Row],[ENLACE]],"/",1),"/")</f>
        <v>finland</v>
      </c>
      <c r="D246" t="str">
        <f>Tabla1[[#This Row],[PAIS]]</f>
        <v>finland</v>
      </c>
      <c r="E246" s="8" t="str">
        <f ca="1">IF(VLOOKUP(Tabla1[[#This Row],[DIVISION]],$H$2:$I$44,2)="X","SI","NO")</f>
        <v>SI</v>
      </c>
    </row>
    <row r="247" spans="1:5" x14ac:dyDescent="0.3">
      <c r="A247" t="str">
        <f>MID(Tabla1[[#This Row],[ENLACE]],FIND("~",SUBSTITUTE(Tabla1[[#This Row],[ENLACE]],"/","~",2))+1,LEN(Tabla1[[#This Row],[ENLACE]]))</f>
        <v>kuopion-palloseura</v>
      </c>
      <c r="B247" s="5" t="s">
        <v>518</v>
      </c>
      <c r="C247" t="str">
        <f>_xlfn.TEXTBEFORE(_xlfn.TEXTAFTER(Tabla1[[#This Row],[ENLACE]],"/",1),"/")</f>
        <v>finland</v>
      </c>
      <c r="D247" t="str">
        <f>Tabla1[[#This Row],[PAIS]]</f>
        <v>finland</v>
      </c>
      <c r="E247" s="8" t="str">
        <f ca="1">IF(VLOOKUP(Tabla1[[#This Row],[DIVISION]],$H$2:$I$44,2)="X","SI","NO")</f>
        <v>SI</v>
      </c>
    </row>
    <row r="248" spans="1:5" x14ac:dyDescent="0.3">
      <c r="A248" t="str">
        <f>MID(Tabla1[[#This Row],[ENLACE]],FIND("~",SUBSTITUTE(Tabla1[[#This Row],[ENLACE]],"/","~",2))+1,LEN(Tabla1[[#This Row],[ENLACE]]))</f>
        <v>fc-lahti</v>
      </c>
      <c r="B248" s="5" t="s">
        <v>570</v>
      </c>
      <c r="C248" t="str">
        <f>_xlfn.TEXTBEFORE(_xlfn.TEXTAFTER(Tabla1[[#This Row],[ENLACE]],"/",1),"/")</f>
        <v>finland</v>
      </c>
      <c r="D248" t="str">
        <f>Tabla1[[#This Row],[PAIS]]</f>
        <v>finland</v>
      </c>
      <c r="E248" s="8" t="str">
        <f ca="1">IF(VLOOKUP(Tabla1[[#This Row],[DIVISION]],$H$2:$I$44,2)="X","SI","NO")</f>
        <v>SI</v>
      </c>
    </row>
    <row r="249" spans="1:5" x14ac:dyDescent="0.3">
      <c r="A249" t="str">
        <f>MID(Tabla1[[#This Row],[ENLACE]],FIND("~",SUBSTITUTE(Tabla1[[#This Row],[ENLACE]],"/","~",2))+1,LEN(Tabla1[[#This Row],[ENLACE]]))</f>
        <v>ifk-mariehamn</v>
      </c>
      <c r="B249" s="5" t="s">
        <v>519</v>
      </c>
      <c r="C249" t="str">
        <f>_xlfn.TEXTBEFORE(_xlfn.TEXTAFTER(Tabla1[[#This Row],[ENLACE]],"/",1),"/")</f>
        <v>finland</v>
      </c>
      <c r="D249" t="str">
        <f>Tabla1[[#This Row],[PAIS]]</f>
        <v>finland</v>
      </c>
      <c r="E249" s="8" t="str">
        <f ca="1">IF(VLOOKUP(Tabla1[[#This Row],[DIVISION]],$H$2:$I$44,2)="X","SI","NO")</f>
        <v>SI</v>
      </c>
    </row>
    <row r="250" spans="1:5" x14ac:dyDescent="0.3">
      <c r="A250" t="str">
        <f>MID(Tabla1[[#This Row],[ENLACE]],FIND("~",SUBSTITUTE(Tabla1[[#This Row],[ENLACE]],"/","~",2))+1,LEN(Tabla1[[#This Row],[ENLACE]]))</f>
        <v>ac-oulu</v>
      </c>
      <c r="B250" s="5" t="s">
        <v>520</v>
      </c>
      <c r="C250" t="str">
        <f>_xlfn.TEXTBEFORE(_xlfn.TEXTAFTER(Tabla1[[#This Row],[ENLACE]],"/",1),"/")</f>
        <v>finland</v>
      </c>
      <c r="D250" t="str">
        <f>Tabla1[[#This Row],[PAIS]]</f>
        <v>finland</v>
      </c>
      <c r="E250" s="8" t="str">
        <f ca="1">IF(VLOOKUP(Tabla1[[#This Row],[DIVISION]],$H$2:$I$44,2)="X","SI","NO")</f>
        <v>SI</v>
      </c>
    </row>
    <row r="251" spans="1:5" x14ac:dyDescent="0.3">
      <c r="A251" t="str">
        <f>MID(Tabla1[[#This Row],[ENLACE]],FIND("~",SUBSTITUTE(Tabla1[[#This Row],[ENLACE]],"/","~",2))+1,LEN(Tabla1[[#This Row],[ENLACE]]))</f>
        <v>sjk</v>
      </c>
      <c r="B251" s="5" t="s">
        <v>521</v>
      </c>
      <c r="C251" t="str">
        <f>_xlfn.TEXTBEFORE(_xlfn.TEXTAFTER(Tabla1[[#This Row],[ENLACE]],"/",1),"/")</f>
        <v>finland</v>
      </c>
      <c r="D251" t="str">
        <f>Tabla1[[#This Row],[PAIS]]</f>
        <v>finland</v>
      </c>
      <c r="E251" s="8" t="str">
        <f ca="1">IF(VLOOKUP(Tabla1[[#This Row],[DIVISION]],$H$2:$I$44,2)="X","SI","NO")</f>
        <v>SI</v>
      </c>
    </row>
    <row r="252" spans="1:5" x14ac:dyDescent="0.3">
      <c r="A252" t="str">
        <f>MID(Tabla1[[#This Row],[ENLACE]],FIND("~",SUBSTITUTE(Tabla1[[#This Row],[ENLACE]],"/","~",2))+1,LEN(Tabla1[[#This Row],[ENLACE]]))</f>
        <v>tps-turku</v>
      </c>
      <c r="B252" s="5" t="s">
        <v>571</v>
      </c>
      <c r="C252" t="str">
        <f>_xlfn.TEXTBEFORE(_xlfn.TEXTAFTER(Tabla1[[#This Row],[ENLACE]],"/",1),"/")</f>
        <v>finland</v>
      </c>
      <c r="D252" t="str">
        <f>Tabla1[[#This Row],[PAIS]]</f>
        <v>finland</v>
      </c>
      <c r="E252" s="8" t="str">
        <f ca="1">IF(VLOOKUP(Tabla1[[#This Row],[DIVISION]],$H$2:$I$44,2)="X","SI","NO")</f>
        <v>SI</v>
      </c>
    </row>
    <row r="253" spans="1:5" x14ac:dyDescent="0.3">
      <c r="A253" t="str">
        <f>MID(Tabla1[[#This Row],[ENLACE]],FIND("~",SUBSTITUTE(Tabla1[[#This Row],[ENLACE]],"/","~",2))+1,LEN(Tabla1[[#This Row],[ENLACE]]))</f>
        <v>vaasan-palloseura</v>
      </c>
      <c r="B253" s="5" t="s">
        <v>522</v>
      </c>
      <c r="C253" t="str">
        <f>_xlfn.TEXTBEFORE(_xlfn.TEXTAFTER(Tabla1[[#This Row],[ENLACE]],"/",1),"/")</f>
        <v>finland</v>
      </c>
      <c r="D253" t="str">
        <f>Tabla1[[#This Row],[PAIS]]</f>
        <v>finland</v>
      </c>
      <c r="E253" s="8" t="str">
        <f ca="1">IF(VLOOKUP(Tabla1[[#This Row],[DIVISION]],$H$2:$I$44,2)="X","SI","NO")</f>
        <v>SI</v>
      </c>
    </row>
    <row r="254" spans="1:5" x14ac:dyDescent="0.3">
      <c r="A254" t="str">
        <f>MID(Tabla1[[#This Row],[ENLACE]],FIND("~",SUBSTITUTE(Tabla1[[#This Row],[ENLACE]],"/","~",2))+1,LEN(Tabla1[[#This Row],[ENLACE]]))</f>
        <v>angers-sco</v>
      </c>
      <c r="B254" s="2" t="s">
        <v>227</v>
      </c>
      <c r="C254" t="str">
        <f>_xlfn.TEXTBEFORE(_xlfn.TEXTAFTER(Tabla1[[#This Row],[ENLACE]],"/",1),"/")</f>
        <v>france</v>
      </c>
      <c r="D254" t="str">
        <f>Tabla1[[#This Row],[PAIS]]</f>
        <v>france</v>
      </c>
      <c r="E254" s="8" t="str">
        <f ca="1">IF(VLOOKUP(Tabla1[[#This Row],[DIVISION]],$H$2:$I$44,2)="X","SI","NO")</f>
        <v>SI</v>
      </c>
    </row>
    <row r="255" spans="1:5" x14ac:dyDescent="0.3">
      <c r="A255" t="str">
        <f>MID(Tabla1[[#This Row],[ENLACE]],FIND("~",SUBSTITUTE(Tabla1[[#This Row],[ENLACE]],"/","~",2))+1,LEN(Tabla1[[#This Row],[ENLACE]]))</f>
        <v>aj-auxerre</v>
      </c>
      <c r="B255" s="5" t="s">
        <v>228</v>
      </c>
      <c r="C255" t="str">
        <f>_xlfn.TEXTBEFORE(_xlfn.TEXTAFTER(Tabla1[[#This Row],[ENLACE]],"/",1),"/")</f>
        <v>france</v>
      </c>
      <c r="D255" t="str">
        <f>Tabla1[[#This Row],[PAIS]]</f>
        <v>france</v>
      </c>
      <c r="E255" s="8" t="str">
        <f ca="1">IF(VLOOKUP(Tabla1[[#This Row],[DIVISION]],$H$2:$I$44,2)="X","SI","NO")</f>
        <v>SI</v>
      </c>
    </row>
    <row r="256" spans="1:5" x14ac:dyDescent="0.3">
      <c r="A256" t="str">
        <f>MID(Tabla1[[#This Row],[ENLACE]],FIND("~",SUBSTITUTE(Tabla1[[#This Row],[ENLACE]],"/","~",2))+1,LEN(Tabla1[[#This Row],[ENLACE]]))</f>
        <v>stade-brestois-29</v>
      </c>
      <c r="B256" s="2" t="s">
        <v>229</v>
      </c>
      <c r="C256" t="str">
        <f>_xlfn.TEXTBEFORE(_xlfn.TEXTAFTER(Tabla1[[#This Row],[ENLACE]],"/",1),"/")</f>
        <v>france</v>
      </c>
      <c r="D256" t="str">
        <f>Tabla1[[#This Row],[PAIS]]</f>
        <v>france</v>
      </c>
      <c r="E256" s="8" t="str">
        <f ca="1">IF(VLOOKUP(Tabla1[[#This Row],[DIVISION]],$H$2:$I$44,2)="X","SI","NO")</f>
        <v>SI</v>
      </c>
    </row>
    <row r="257" spans="1:5" x14ac:dyDescent="0.3">
      <c r="A257" t="str">
        <f>MID(Tabla1[[#This Row],[ENLACE]],FIND("~",SUBSTITUTE(Tabla1[[#This Row],[ENLACE]],"/","~",2))+1,LEN(Tabla1[[#This Row],[ENLACE]]))</f>
        <v>le-havre-ac</v>
      </c>
      <c r="B257" s="5" t="s">
        <v>230</v>
      </c>
      <c r="C257" t="str">
        <f>_xlfn.TEXTBEFORE(_xlfn.TEXTAFTER(Tabla1[[#This Row],[ENLACE]],"/",1),"/")</f>
        <v>france</v>
      </c>
      <c r="D257" t="str">
        <f>Tabla1[[#This Row],[PAIS]]</f>
        <v>france</v>
      </c>
      <c r="E257" s="8" t="str">
        <f ca="1">IF(VLOOKUP(Tabla1[[#This Row],[DIVISION]],$H$2:$I$44,2)="X","SI","NO")</f>
        <v>SI</v>
      </c>
    </row>
    <row r="258" spans="1:5" x14ac:dyDescent="0.3">
      <c r="A258" t="str">
        <f>MID(Tabla1[[#This Row],[ENLACE]],FIND("~",SUBSTITUTE(Tabla1[[#This Row],[ENLACE]],"/","~",2))+1,LEN(Tabla1[[#This Row],[ENLACE]]))</f>
        <v>le-mans-fc</v>
      </c>
      <c r="B258" s="2" t="s">
        <v>614</v>
      </c>
      <c r="C258" t="str">
        <f>_xlfn.TEXTBEFORE(_xlfn.TEXTAFTER(Tabla1[[#This Row],[ENLACE]],"/",1),"/")</f>
        <v>france</v>
      </c>
      <c r="D258" t="str">
        <f>Tabla1[[#This Row],[PAIS]]</f>
        <v>france</v>
      </c>
      <c r="E258" s="8" t="str">
        <f ca="1">IF(VLOOKUP(Tabla1[[#This Row],[DIVISION]],$H$2:$I$44,2)="X","SI","NO")</f>
        <v>SI</v>
      </c>
    </row>
    <row r="259" spans="1:5" x14ac:dyDescent="0.3">
      <c r="A259" t="str">
        <f>MID(Tabla1[[#This Row],[ENLACE]],FIND("~",SUBSTITUTE(Tabla1[[#This Row],[ENLACE]],"/","~",2))+1,LEN(Tabla1[[#This Row],[ENLACE]]))</f>
        <v>rc-lens</v>
      </c>
      <c r="B259" s="5" t="s">
        <v>231</v>
      </c>
      <c r="C259" t="str">
        <f>_xlfn.TEXTBEFORE(_xlfn.TEXTAFTER(Tabla1[[#This Row],[ENLACE]],"/",1),"/")</f>
        <v>france</v>
      </c>
      <c r="D259" t="str">
        <f>Tabla1[[#This Row],[PAIS]]</f>
        <v>france</v>
      </c>
      <c r="E259" s="8" t="str">
        <f ca="1">IF(VLOOKUP(Tabla1[[#This Row],[DIVISION]],$H$2:$I$44,2)="X","SI","NO")</f>
        <v>SI</v>
      </c>
    </row>
    <row r="260" spans="1:5" x14ac:dyDescent="0.3">
      <c r="A260" t="str">
        <f>MID(Tabla1[[#This Row],[ENLACE]],FIND("~",SUBSTITUTE(Tabla1[[#This Row],[ENLACE]],"/","~",2))+1,LEN(Tabla1[[#This Row],[ENLACE]]))</f>
        <v>lille-osc</v>
      </c>
      <c r="B260" s="2" t="s">
        <v>232</v>
      </c>
      <c r="C260" t="str">
        <f>_xlfn.TEXTBEFORE(_xlfn.TEXTAFTER(Tabla1[[#This Row],[ENLACE]],"/",1),"/")</f>
        <v>france</v>
      </c>
      <c r="D260" t="str">
        <f>Tabla1[[#This Row],[PAIS]]</f>
        <v>france</v>
      </c>
      <c r="E260" s="8" t="str">
        <f ca="1">IF(VLOOKUP(Tabla1[[#This Row],[DIVISION]],$H$2:$I$44,2)="X","SI","NO")</f>
        <v>SI</v>
      </c>
    </row>
    <row r="261" spans="1:5" x14ac:dyDescent="0.3">
      <c r="A261" t="str">
        <f>MID(Tabla1[[#This Row],[ENLACE]],FIND("~",SUBSTITUTE(Tabla1[[#This Row],[ENLACE]],"/","~",2))+1,LEN(Tabla1[[#This Row],[ENLACE]]))</f>
        <v>fc-lorient</v>
      </c>
      <c r="B261" s="5" t="s">
        <v>468</v>
      </c>
      <c r="C261" t="str">
        <f>_xlfn.TEXTBEFORE(_xlfn.TEXTAFTER(Tabla1[[#This Row],[ENLACE]],"/",1),"/")</f>
        <v>france</v>
      </c>
      <c r="D261" t="str">
        <f>Tabla1[[#This Row],[PAIS]]</f>
        <v>france</v>
      </c>
      <c r="E261" s="8" t="str">
        <f ca="1">IF(VLOOKUP(Tabla1[[#This Row],[DIVISION]],$H$2:$I$44,2)="X","SI","NO")</f>
        <v>SI</v>
      </c>
    </row>
    <row r="262" spans="1:5" x14ac:dyDescent="0.3">
      <c r="A262" t="str">
        <f>MID(Tabla1[[#This Row],[ENLACE]],FIND("~",SUBSTITUTE(Tabla1[[#This Row],[ENLACE]],"/","~",2))+1,LEN(Tabla1[[#This Row],[ENLACE]]))</f>
        <v>olympique-lyonnais</v>
      </c>
      <c r="B262" s="2" t="s">
        <v>233</v>
      </c>
      <c r="C262" t="str">
        <f>_xlfn.TEXTBEFORE(_xlfn.TEXTAFTER(Tabla1[[#This Row],[ENLACE]],"/",1),"/")</f>
        <v>france</v>
      </c>
      <c r="D262" t="str">
        <f>Tabla1[[#This Row],[PAIS]]</f>
        <v>france</v>
      </c>
      <c r="E262" s="8" t="str">
        <f ca="1">IF(VLOOKUP(Tabla1[[#This Row],[DIVISION]],$H$2:$I$44,2)="X","SI","NO")</f>
        <v>SI</v>
      </c>
    </row>
    <row r="263" spans="1:5" x14ac:dyDescent="0.3">
      <c r="A263" t="str">
        <f>MID(Tabla1[[#This Row],[ENLACE]],FIND("~",SUBSTITUTE(Tabla1[[#This Row],[ENLACE]],"/","~",2))+1,LEN(Tabla1[[#This Row],[ENLACE]]))</f>
        <v>olympique-de-marseille</v>
      </c>
      <c r="B263" s="5" t="s">
        <v>234</v>
      </c>
      <c r="C263" t="str">
        <f>_xlfn.TEXTBEFORE(_xlfn.TEXTAFTER(Tabla1[[#This Row],[ENLACE]],"/",1),"/")</f>
        <v>france</v>
      </c>
      <c r="D263" t="str">
        <f>Tabla1[[#This Row],[PAIS]]</f>
        <v>france</v>
      </c>
      <c r="E263" s="8" t="str">
        <f ca="1">IF(VLOOKUP(Tabla1[[#This Row],[DIVISION]],$H$2:$I$44,2)="X","SI","NO")</f>
        <v>SI</v>
      </c>
    </row>
    <row r="264" spans="1:5" x14ac:dyDescent="0.3">
      <c r="A264" t="str">
        <f>MID(Tabla1[[#This Row],[ENLACE]],FIND("~",SUBSTITUTE(Tabla1[[#This Row],[ENLACE]],"/","~",2))+1,LEN(Tabla1[[#This Row],[ENLACE]]))</f>
        <v>as-monaco-fc</v>
      </c>
      <c r="B264" s="2" t="s">
        <v>235</v>
      </c>
      <c r="C264" t="str">
        <f>_xlfn.TEXTBEFORE(_xlfn.TEXTAFTER(Tabla1[[#This Row],[ENLACE]],"/",1),"/")</f>
        <v>france</v>
      </c>
      <c r="D264" t="str">
        <f>Tabla1[[#This Row],[PAIS]]</f>
        <v>france</v>
      </c>
      <c r="E264" s="8" t="str">
        <f ca="1">IF(VLOOKUP(Tabla1[[#This Row],[DIVISION]],$H$2:$I$44,2)="X","SI","NO")</f>
        <v>SI</v>
      </c>
    </row>
    <row r="265" spans="1:5" x14ac:dyDescent="0.3">
      <c r="A265" t="str">
        <f>MID(Tabla1[[#This Row],[ENLACE]],FIND("~",SUBSTITUTE(Tabla1[[#This Row],[ENLACE]],"/","~",2))+1,LEN(Tabla1[[#This Row],[ENLACE]]))</f>
        <v>ogc-nice</v>
      </c>
      <c r="B265" s="5" t="s">
        <v>236</v>
      </c>
      <c r="C265" t="str">
        <f>_xlfn.TEXTBEFORE(_xlfn.TEXTAFTER(Tabla1[[#This Row],[ENLACE]],"/",1),"/")</f>
        <v>france</v>
      </c>
      <c r="D265" t="str">
        <f>Tabla1[[#This Row],[PAIS]]</f>
        <v>france</v>
      </c>
      <c r="E265" s="8" t="str">
        <f ca="1">IF(VLOOKUP(Tabla1[[#This Row],[DIVISION]],$H$2:$I$44,2)="X","SI","NO")</f>
        <v>SI</v>
      </c>
    </row>
    <row r="266" spans="1:5" x14ac:dyDescent="0.3">
      <c r="A266" t="str">
        <f>MID(Tabla1[[#This Row],[ENLACE]],FIND("~",SUBSTITUTE(Tabla1[[#This Row],[ENLACE]],"/","~",2))+1,LEN(Tabla1[[#This Row],[ENLACE]]))</f>
        <v>paris-fc</v>
      </c>
      <c r="B266" s="2" t="s">
        <v>469</v>
      </c>
      <c r="C266" t="str">
        <f>_xlfn.TEXTBEFORE(_xlfn.TEXTAFTER(Tabla1[[#This Row],[ENLACE]],"/",1),"/")</f>
        <v>france</v>
      </c>
      <c r="D266" t="str">
        <f>Tabla1[[#This Row],[PAIS]]</f>
        <v>france</v>
      </c>
      <c r="E266" s="8" t="str">
        <f ca="1">IF(VLOOKUP(Tabla1[[#This Row],[DIVISION]],$H$2:$I$44,2)="X","SI","NO")</f>
        <v>SI</v>
      </c>
    </row>
    <row r="267" spans="1:5" x14ac:dyDescent="0.3">
      <c r="A267" t="str">
        <f>MID(Tabla1[[#This Row],[ENLACE]],FIND("~",SUBSTITUTE(Tabla1[[#This Row],[ENLACE]],"/","~",2))+1,LEN(Tabla1[[#This Row],[ENLACE]]))</f>
        <v>paris-saint-germain-fc</v>
      </c>
      <c r="B267" s="5" t="s">
        <v>237</v>
      </c>
      <c r="C267" t="str">
        <f>_xlfn.TEXTBEFORE(_xlfn.TEXTAFTER(Tabla1[[#This Row],[ENLACE]],"/",1),"/")</f>
        <v>france</v>
      </c>
      <c r="D267" t="str">
        <f>Tabla1[[#This Row],[PAIS]]</f>
        <v>france</v>
      </c>
      <c r="E267" s="8" t="str">
        <f ca="1">IF(VLOOKUP(Tabla1[[#This Row],[DIVISION]],$H$2:$I$44,2)="X","SI","NO")</f>
        <v>SI</v>
      </c>
    </row>
    <row r="268" spans="1:5" x14ac:dyDescent="0.3">
      <c r="A268" t="str">
        <f>MID(Tabla1[[#This Row],[ENLACE]],FIND("~",SUBSTITUTE(Tabla1[[#This Row],[ENLACE]],"/","~",2))+1,LEN(Tabla1[[#This Row],[ENLACE]]))</f>
        <v>stade-rennais-fc</v>
      </c>
      <c r="B268" s="2" t="s">
        <v>238</v>
      </c>
      <c r="C268" t="str">
        <f>_xlfn.TEXTBEFORE(_xlfn.TEXTAFTER(Tabla1[[#This Row],[ENLACE]],"/",1),"/")</f>
        <v>france</v>
      </c>
      <c r="D268" t="str">
        <f>Tabla1[[#This Row],[PAIS]]</f>
        <v>france</v>
      </c>
      <c r="E268" s="8" t="str">
        <f ca="1">IF(VLOOKUP(Tabla1[[#This Row],[DIVISION]],$H$2:$I$44,2)="X","SI","NO")</f>
        <v>SI</v>
      </c>
    </row>
    <row r="269" spans="1:5" x14ac:dyDescent="0.3">
      <c r="A269" t="str">
        <f>MID(Tabla1[[#This Row],[ENLACE]],FIND("~",SUBSTITUTE(Tabla1[[#This Row],[ENLACE]],"/","~",2))+1,LEN(Tabla1[[#This Row],[ENLACE]]))</f>
        <v>rc-strasbourg-alsace</v>
      </c>
      <c r="B269" s="5" t="s">
        <v>239</v>
      </c>
      <c r="C269" t="str">
        <f>_xlfn.TEXTBEFORE(_xlfn.TEXTAFTER(Tabla1[[#This Row],[ENLACE]],"/",1),"/")</f>
        <v>france</v>
      </c>
      <c r="D269" t="str">
        <f>Tabla1[[#This Row],[PAIS]]</f>
        <v>france</v>
      </c>
      <c r="E269" s="8" t="str">
        <f ca="1">IF(VLOOKUP(Tabla1[[#This Row],[DIVISION]],$H$2:$I$44,2)="X","SI","NO")</f>
        <v>SI</v>
      </c>
    </row>
    <row r="270" spans="1:5" x14ac:dyDescent="0.3">
      <c r="A270" t="str">
        <f>MID(Tabla1[[#This Row],[ENLACE]],FIND("~",SUBSTITUTE(Tabla1[[#This Row],[ENLACE]],"/","~",2))+1,LEN(Tabla1[[#This Row],[ENLACE]]))</f>
        <v>toulouse-fc</v>
      </c>
      <c r="B270" s="2" t="s">
        <v>240</v>
      </c>
      <c r="C270" t="str">
        <f>_xlfn.TEXTBEFORE(_xlfn.TEXTAFTER(Tabla1[[#This Row],[ENLACE]],"/",1),"/")</f>
        <v>france</v>
      </c>
      <c r="D270" t="str">
        <f>Tabla1[[#This Row],[PAIS]]</f>
        <v>france</v>
      </c>
      <c r="E270" s="8" t="str">
        <f ca="1">IF(VLOOKUP(Tabla1[[#This Row],[DIVISION]],$H$2:$I$44,2)="X","SI","NO")</f>
        <v>SI</v>
      </c>
    </row>
    <row r="271" spans="1:5" x14ac:dyDescent="0.3">
      <c r="A271" t="str">
        <f>MID(Tabla1[[#This Row],[ENLACE]],FIND("~",SUBSTITUTE(Tabla1[[#This Row],[ENLACE]],"/","~",2))+1,LEN(Tabla1[[#This Row],[ENLACE]]))</f>
        <v>troyes-ac</v>
      </c>
      <c r="B271" s="5" t="s">
        <v>615</v>
      </c>
      <c r="C271" t="str">
        <f>_xlfn.TEXTBEFORE(_xlfn.TEXTAFTER(Tabla1[[#This Row],[ENLACE]],"/",1),"/")</f>
        <v>france</v>
      </c>
      <c r="D271" t="str">
        <f>Tabla1[[#This Row],[PAIS]]</f>
        <v>france</v>
      </c>
      <c r="E271" s="8" t="str">
        <f ca="1">IF(VLOOKUP(Tabla1[[#This Row],[DIVISION]],$H$2:$I$44,2)="X","SI","NO")</f>
        <v>SI</v>
      </c>
    </row>
    <row r="272" spans="1:5" x14ac:dyDescent="0.3">
      <c r="A272" t="str">
        <f>MID(Tabla1[[#This Row],[ENLACE]],FIND("~",SUBSTITUTE(Tabla1[[#This Row],[ENLACE]],"/","~",2))+1,LEN(Tabla1[[#This Row],[ENLACE]]))</f>
        <v>fc-augsburg</v>
      </c>
      <c r="B272" s="2" t="s">
        <v>60</v>
      </c>
      <c r="C272" t="str">
        <f>_xlfn.TEXTBEFORE(_xlfn.TEXTAFTER(Tabla1[[#This Row],[ENLACE]],"/",1),"/")</f>
        <v>germany</v>
      </c>
      <c r="D272" t="str">
        <f>Tabla1[[#This Row],[PAIS]]</f>
        <v>germany</v>
      </c>
      <c r="E272" s="8" t="str">
        <f ca="1">IF(VLOOKUP(Tabla1[[#This Row],[DIVISION]],$H$2:$I$44,2)="X","SI","NO")</f>
        <v>SI</v>
      </c>
    </row>
    <row r="273" spans="1:5" x14ac:dyDescent="0.3">
      <c r="A273" t="str">
        <f>MID(Tabla1[[#This Row],[ENLACE]],FIND("~",SUBSTITUTE(Tabla1[[#This Row],[ENLACE]],"/","~",2))+1,LEN(Tabla1[[#This Row],[ENLACE]]))</f>
        <v>bayern-munich</v>
      </c>
      <c r="B273" s="5" t="s">
        <v>61</v>
      </c>
      <c r="C273" t="str">
        <f>_xlfn.TEXTBEFORE(_xlfn.TEXTAFTER(Tabla1[[#This Row],[ENLACE]],"/",1),"/")</f>
        <v>germany</v>
      </c>
      <c r="D273" t="str">
        <f>Tabla1[[#This Row],[PAIS]]</f>
        <v>germany</v>
      </c>
      <c r="E273" s="8" t="str">
        <f ca="1">IF(VLOOKUP(Tabla1[[#This Row],[DIVISION]],$H$2:$I$44,2)="X","SI","NO")</f>
        <v>SI</v>
      </c>
    </row>
    <row r="274" spans="1:5" x14ac:dyDescent="0.3">
      <c r="A274" t="str">
        <f>MID(Tabla1[[#This Row],[ENLACE]],FIND("~",SUBSTITUTE(Tabla1[[#This Row],[ENLACE]],"/","~",2))+1,LEN(Tabla1[[#This Row],[ENLACE]]))</f>
        <v>werder-bremen</v>
      </c>
      <c r="B274" s="2" t="s">
        <v>63</v>
      </c>
      <c r="C274" t="str">
        <f>_xlfn.TEXTBEFORE(_xlfn.TEXTAFTER(Tabla1[[#This Row],[ENLACE]],"/",1),"/")</f>
        <v>germany</v>
      </c>
      <c r="D274" t="str">
        <f>Tabla1[[#This Row],[PAIS]]</f>
        <v>germany</v>
      </c>
      <c r="E274" s="8" t="str">
        <f ca="1">IF(VLOOKUP(Tabla1[[#This Row],[DIVISION]],$H$2:$I$44,2)="X","SI","NO")</f>
        <v>SI</v>
      </c>
    </row>
    <row r="275" spans="1:5" x14ac:dyDescent="0.3">
      <c r="A275" t="str">
        <f>MID(Tabla1[[#This Row],[ENLACE]],FIND("~",SUBSTITUTE(Tabla1[[#This Row],[ENLACE]],"/","~",2))+1,LEN(Tabla1[[#This Row],[ENLACE]]))</f>
        <v>borussia-dortmund</v>
      </c>
      <c r="B275" s="5" t="s">
        <v>64</v>
      </c>
      <c r="C275" t="str">
        <f>_xlfn.TEXTBEFORE(_xlfn.TEXTAFTER(Tabla1[[#This Row],[ENLACE]],"/",1),"/")</f>
        <v>germany</v>
      </c>
      <c r="D275" t="str">
        <f>Tabla1[[#This Row],[PAIS]]</f>
        <v>germany</v>
      </c>
      <c r="E275" s="8" t="str">
        <f ca="1">IF(VLOOKUP(Tabla1[[#This Row],[DIVISION]],$H$2:$I$44,2)="X","SI","NO")</f>
        <v>SI</v>
      </c>
    </row>
    <row r="276" spans="1:5" x14ac:dyDescent="0.3">
      <c r="A276" t="str">
        <f>MID(Tabla1[[#This Row],[ENLACE]],FIND("~",SUBSTITUTE(Tabla1[[#This Row],[ENLACE]],"/","~",2))+1,LEN(Tabla1[[#This Row],[ENLACE]]))</f>
        <v>sv-elversberg</v>
      </c>
      <c r="B276" s="2" t="s">
        <v>616</v>
      </c>
      <c r="C276" t="str">
        <f>_xlfn.TEXTBEFORE(_xlfn.TEXTAFTER(Tabla1[[#This Row],[ENLACE]],"/",1),"/")</f>
        <v>germany</v>
      </c>
      <c r="D276" t="str">
        <f>Tabla1[[#This Row],[PAIS]]</f>
        <v>germany</v>
      </c>
      <c r="E276" s="8" t="str">
        <f ca="1">IF(VLOOKUP(Tabla1[[#This Row],[DIVISION]],$H$2:$I$44,2)="X","SI","NO")</f>
        <v>SI</v>
      </c>
    </row>
    <row r="277" spans="1:5" x14ac:dyDescent="0.3">
      <c r="A277" t="str">
        <f>MID(Tabla1[[#This Row],[ENLACE]],FIND("~",SUBSTITUTE(Tabla1[[#This Row],[ENLACE]],"/","~",2))+1,LEN(Tabla1[[#This Row],[ENLACE]]))</f>
        <v>fc-koln</v>
      </c>
      <c r="B277" s="5" t="s">
        <v>465</v>
      </c>
      <c r="C277" t="str">
        <f>_xlfn.TEXTBEFORE(_xlfn.TEXTAFTER(Tabla1[[#This Row],[ENLACE]],"/",1),"/")</f>
        <v>germany</v>
      </c>
      <c r="D277" t="str">
        <f>Tabla1[[#This Row],[PAIS]]</f>
        <v>germany</v>
      </c>
      <c r="E277" s="8" t="str">
        <f ca="1">IF(VLOOKUP(Tabla1[[#This Row],[DIVISION]],$H$2:$I$44,2)="X","SI","NO")</f>
        <v>SI</v>
      </c>
    </row>
    <row r="278" spans="1:5" x14ac:dyDescent="0.3">
      <c r="A278" t="str">
        <f>MID(Tabla1[[#This Row],[ENLACE]],FIND("~",SUBSTITUTE(Tabla1[[#This Row],[ENLACE]],"/","~",2))+1,LEN(Tabla1[[#This Row],[ENLACE]]))</f>
        <v>eintracht-frankfurt</v>
      </c>
      <c r="B278" s="2" t="s">
        <v>65</v>
      </c>
      <c r="C278" t="str">
        <f>_xlfn.TEXTBEFORE(_xlfn.TEXTAFTER(Tabla1[[#This Row],[ENLACE]],"/",1),"/")</f>
        <v>germany</v>
      </c>
      <c r="D278" t="str">
        <f>Tabla1[[#This Row],[PAIS]]</f>
        <v>germany</v>
      </c>
      <c r="E278" s="8" t="str">
        <f ca="1">IF(VLOOKUP(Tabla1[[#This Row],[DIVISION]],$H$2:$I$44,2)="X","SI","NO")</f>
        <v>SI</v>
      </c>
    </row>
    <row r="279" spans="1:5" x14ac:dyDescent="0.3">
      <c r="A279" t="str">
        <f>MID(Tabla1[[#This Row],[ENLACE]],FIND("~",SUBSTITUTE(Tabla1[[#This Row],[ENLACE]],"/","~",2))+1,LEN(Tabla1[[#This Row],[ENLACE]]))</f>
        <v>sc-freiburg</v>
      </c>
      <c r="B279" s="5" t="s">
        <v>66</v>
      </c>
      <c r="C279" t="str">
        <f>_xlfn.TEXTBEFORE(_xlfn.TEXTAFTER(Tabla1[[#This Row],[ENLACE]],"/",1),"/")</f>
        <v>germany</v>
      </c>
      <c r="D279" t="str">
        <f>Tabla1[[#This Row],[PAIS]]</f>
        <v>germany</v>
      </c>
      <c r="E279" s="8" t="str">
        <f ca="1">IF(VLOOKUP(Tabla1[[#This Row],[DIVISION]],$H$2:$I$44,2)="X","SI","NO")</f>
        <v>SI</v>
      </c>
    </row>
    <row r="280" spans="1:5" x14ac:dyDescent="0.3">
      <c r="A280" t="str">
        <f>MID(Tabla1[[#This Row],[ENLACE]],FIND("~",SUBSTITUTE(Tabla1[[#This Row],[ENLACE]],"/","~",2))+1,LEN(Tabla1[[#This Row],[ENLACE]]))</f>
        <v>hamburger-sv</v>
      </c>
      <c r="B280" s="2" t="s">
        <v>466</v>
      </c>
      <c r="C280" t="str">
        <f>_xlfn.TEXTBEFORE(_xlfn.TEXTAFTER(Tabla1[[#This Row],[ENLACE]],"/",1),"/")</f>
        <v>germany</v>
      </c>
      <c r="D280" t="str">
        <f>Tabla1[[#This Row],[PAIS]]</f>
        <v>germany</v>
      </c>
      <c r="E280" s="8" t="str">
        <f ca="1">IF(VLOOKUP(Tabla1[[#This Row],[DIVISION]],$H$2:$I$44,2)="X","SI","NO")</f>
        <v>SI</v>
      </c>
    </row>
    <row r="281" spans="1:5" x14ac:dyDescent="0.3">
      <c r="A281" t="str">
        <f>MID(Tabla1[[#This Row],[ENLACE]],FIND("~",SUBSTITUTE(Tabla1[[#This Row],[ENLACE]],"/","~",2))+1,LEN(Tabla1[[#This Row],[ENLACE]]))</f>
        <v>hoffenheim</v>
      </c>
      <c r="B281" s="5" t="s">
        <v>68</v>
      </c>
      <c r="C281" t="str">
        <f>_xlfn.TEXTBEFORE(_xlfn.TEXTAFTER(Tabla1[[#This Row],[ENLACE]],"/",1),"/")</f>
        <v>germany</v>
      </c>
      <c r="D281" t="str">
        <f>Tabla1[[#This Row],[PAIS]]</f>
        <v>germany</v>
      </c>
      <c r="E281" s="8" t="str">
        <f ca="1">IF(VLOOKUP(Tabla1[[#This Row],[DIVISION]],$H$2:$I$44,2)="X","SI","NO")</f>
        <v>SI</v>
      </c>
    </row>
    <row r="282" spans="1:5" x14ac:dyDescent="0.3">
      <c r="A282" t="str">
        <f>MID(Tabla1[[#This Row],[ENLACE]],FIND("~",SUBSTITUTE(Tabla1[[#This Row],[ENLACE]],"/","~",2))+1,LEN(Tabla1[[#This Row],[ENLACE]]))</f>
        <v>bayer-leverkusen</v>
      </c>
      <c r="B282" s="2" t="s">
        <v>70</v>
      </c>
      <c r="C282" t="str">
        <f>_xlfn.TEXTBEFORE(_xlfn.TEXTAFTER(Tabla1[[#This Row],[ENLACE]],"/",1),"/")</f>
        <v>germany</v>
      </c>
      <c r="D282" t="str">
        <f>Tabla1[[#This Row],[PAIS]]</f>
        <v>germany</v>
      </c>
      <c r="E282" s="8" t="str">
        <f ca="1">IF(VLOOKUP(Tabla1[[#This Row],[DIVISION]],$H$2:$I$44,2)="X","SI","NO")</f>
        <v>SI</v>
      </c>
    </row>
    <row r="283" spans="1:5" x14ac:dyDescent="0.3">
      <c r="A283" t="str">
        <f>MID(Tabla1[[#This Row],[ENLACE]],FIND("~",SUBSTITUTE(Tabla1[[#This Row],[ENLACE]],"/","~",2))+1,LEN(Tabla1[[#This Row],[ENLACE]]))</f>
        <v>mainz-05</v>
      </c>
      <c r="B283" s="5" t="s">
        <v>71</v>
      </c>
      <c r="C283" t="str">
        <f>_xlfn.TEXTBEFORE(_xlfn.TEXTAFTER(Tabla1[[#This Row],[ENLACE]],"/",1),"/")</f>
        <v>germany</v>
      </c>
      <c r="D283" t="str">
        <f>Tabla1[[#This Row],[PAIS]]</f>
        <v>germany</v>
      </c>
      <c r="E283" s="8" t="str">
        <f ca="1">IF(VLOOKUP(Tabla1[[#This Row],[DIVISION]],$H$2:$I$44,2)="X","SI","NO")</f>
        <v>SI</v>
      </c>
    </row>
    <row r="284" spans="1:5" x14ac:dyDescent="0.3">
      <c r="A284" t="str">
        <f>MID(Tabla1[[#This Row],[ENLACE]],FIND("~",SUBSTITUTE(Tabla1[[#This Row],[ENLACE]],"/","~",2))+1,LEN(Tabla1[[#This Row],[ENLACE]]))</f>
        <v>borussia-monchengladbach</v>
      </c>
      <c r="B284" s="2" t="s">
        <v>72</v>
      </c>
      <c r="C284" t="str">
        <f>_xlfn.TEXTBEFORE(_xlfn.TEXTAFTER(Tabla1[[#This Row],[ENLACE]],"/",1),"/")</f>
        <v>germany</v>
      </c>
      <c r="D284" t="str">
        <f>Tabla1[[#This Row],[PAIS]]</f>
        <v>germany</v>
      </c>
      <c r="E284" s="8" t="str">
        <f ca="1">IF(VLOOKUP(Tabla1[[#This Row],[DIVISION]],$H$2:$I$44,2)="X","SI","NO")</f>
        <v>SI</v>
      </c>
    </row>
    <row r="285" spans="1:5" x14ac:dyDescent="0.3">
      <c r="A285" t="str">
        <f>MID(Tabla1[[#This Row],[ENLACE]],FIND("~",SUBSTITUTE(Tabla1[[#This Row],[ENLACE]],"/","~",2))+1,LEN(Tabla1[[#This Row],[ENLACE]]))</f>
        <v>sc-paderborn</v>
      </c>
      <c r="B285" s="5" t="s">
        <v>617</v>
      </c>
      <c r="C285" t="str">
        <f>_xlfn.TEXTBEFORE(_xlfn.TEXTAFTER(Tabla1[[#This Row],[ENLACE]],"/",1),"/")</f>
        <v>germany</v>
      </c>
      <c r="D285" t="str">
        <f>Tabla1[[#This Row],[PAIS]]</f>
        <v>germany</v>
      </c>
      <c r="E285" s="8" t="str">
        <f ca="1">IF(VLOOKUP(Tabla1[[#This Row],[DIVISION]],$H$2:$I$44,2)="X","SI","NO")</f>
        <v>SI</v>
      </c>
    </row>
    <row r="286" spans="1:5" x14ac:dyDescent="0.3">
      <c r="A286" t="str">
        <f>MID(Tabla1[[#This Row],[ENLACE]],FIND("~",SUBSTITUTE(Tabla1[[#This Row],[ENLACE]],"/","~",2))+1,LEN(Tabla1[[#This Row],[ENLACE]]))</f>
        <v>rb-leipzig</v>
      </c>
      <c r="B286" s="2" t="s">
        <v>73</v>
      </c>
      <c r="C286" t="str">
        <f>_xlfn.TEXTBEFORE(_xlfn.TEXTAFTER(Tabla1[[#This Row],[ENLACE]],"/",1),"/")</f>
        <v>germany</v>
      </c>
      <c r="D286" t="str">
        <f>Tabla1[[#This Row],[PAIS]]</f>
        <v>germany</v>
      </c>
      <c r="E286" s="8" t="str">
        <f ca="1">IF(VLOOKUP(Tabla1[[#This Row],[DIVISION]],$H$2:$I$44,2)="X","SI","NO")</f>
        <v>SI</v>
      </c>
    </row>
    <row r="287" spans="1:5" x14ac:dyDescent="0.3">
      <c r="A287" t="str">
        <f>MID(Tabla1[[#This Row],[ENLACE]],FIND("~",SUBSTITUTE(Tabla1[[#This Row],[ENLACE]],"/","~",2))+1,LEN(Tabla1[[#This Row],[ENLACE]]))</f>
        <v>schalke-04</v>
      </c>
      <c r="B287" s="5" t="s">
        <v>618</v>
      </c>
      <c r="C287" t="str">
        <f>_xlfn.TEXTBEFORE(_xlfn.TEXTAFTER(Tabla1[[#This Row],[ENLACE]],"/",1),"/")</f>
        <v>germany</v>
      </c>
      <c r="D287" t="str">
        <f>Tabla1[[#This Row],[PAIS]]</f>
        <v>germany</v>
      </c>
      <c r="E287" s="8" t="str">
        <f ca="1">IF(VLOOKUP(Tabla1[[#This Row],[DIVISION]],$H$2:$I$44,2)="X","SI","NO")</f>
        <v>SI</v>
      </c>
    </row>
    <row r="288" spans="1:5" x14ac:dyDescent="0.3">
      <c r="A288" t="str">
        <f>MID(Tabla1[[#This Row],[ENLACE]],FIND("~",SUBSTITUTE(Tabla1[[#This Row],[ENLACE]],"/","~",2))+1,LEN(Tabla1[[#This Row],[ENLACE]]))</f>
        <v>vfb-stuttgart</v>
      </c>
      <c r="B288" s="2" t="s">
        <v>75</v>
      </c>
      <c r="C288" t="str">
        <f>_xlfn.TEXTBEFORE(_xlfn.TEXTAFTER(Tabla1[[#This Row],[ENLACE]],"/",1),"/")</f>
        <v>germany</v>
      </c>
      <c r="D288" t="str">
        <f>Tabla1[[#This Row],[PAIS]]</f>
        <v>germany</v>
      </c>
      <c r="E288" s="8" t="str">
        <f ca="1">IF(VLOOKUP(Tabla1[[#This Row],[DIVISION]],$H$2:$I$44,2)="X","SI","NO")</f>
        <v>SI</v>
      </c>
    </row>
    <row r="289" spans="1:5" x14ac:dyDescent="0.3">
      <c r="A289" t="str">
        <f>MID(Tabla1[[#This Row],[ENLACE]],FIND("~",SUBSTITUTE(Tabla1[[#This Row],[ENLACE]],"/","~",2))+1,LEN(Tabla1[[#This Row],[ENLACE]]))</f>
        <v>union-berlin</v>
      </c>
      <c r="B289" s="5" t="s">
        <v>76</v>
      </c>
      <c r="C289" t="str">
        <f>_xlfn.TEXTBEFORE(_xlfn.TEXTAFTER(Tabla1[[#This Row],[ENLACE]],"/",1),"/")</f>
        <v>germany</v>
      </c>
      <c r="D289" t="str">
        <f>Tabla1[[#This Row],[PAIS]]</f>
        <v>germany</v>
      </c>
      <c r="E289" s="8" t="str">
        <f ca="1">IF(VLOOKUP(Tabla1[[#This Row],[DIVISION]],$H$2:$I$44,2)="X","SI","NO")</f>
        <v>SI</v>
      </c>
    </row>
    <row r="290" spans="1:5" x14ac:dyDescent="0.3">
      <c r="A290" t="str">
        <f>MID(Tabla1[[#This Row],[ENLACE]],FIND("~",SUBSTITUTE(Tabla1[[#This Row],[ENLACE]],"/","~",2))+1,LEN(Tabla1[[#This Row],[ENLACE]]))</f>
        <v>arminia-bielefeld</v>
      </c>
      <c r="B290" s="2" t="s">
        <v>241</v>
      </c>
      <c r="C290" t="str">
        <f>_xlfn.TEXTBEFORE(_xlfn.TEXTAFTER(Tabla1[[#This Row],[ENLACE]],"/",1),"/")</f>
        <v>germany</v>
      </c>
      <c r="D290" t="s">
        <v>730</v>
      </c>
      <c r="E290" s="8" t="str">
        <f ca="1">IF(VLOOKUP(Tabla1[[#This Row],[DIVISION]],$H$2:$I$44,2)="X","SI","NO")</f>
        <v>SI</v>
      </c>
    </row>
    <row r="291" spans="1:5" x14ac:dyDescent="0.3">
      <c r="A291" t="str">
        <f>MID(Tabla1[[#This Row],[ENLACE]],FIND("~",SUBSTITUTE(Tabla1[[#This Row],[ENLACE]],"/","~",2))+1,LEN(Tabla1[[#This Row],[ENLACE]]))</f>
        <v>vfl-bochum</v>
      </c>
      <c r="B291" s="5" t="s">
        <v>62</v>
      </c>
      <c r="C291" t="str">
        <f>_xlfn.TEXTBEFORE(_xlfn.TEXTAFTER(Tabla1[[#This Row],[ENLACE]],"/",1),"/")</f>
        <v>germany</v>
      </c>
      <c r="D291" t="s">
        <v>730</v>
      </c>
      <c r="E291" s="8" t="str">
        <f ca="1">IF(VLOOKUP(Tabla1[[#This Row],[DIVISION]],$H$2:$I$44,2)="X","SI","NO")</f>
        <v>SI</v>
      </c>
    </row>
    <row r="292" spans="1:5" x14ac:dyDescent="0.3">
      <c r="A292" t="str">
        <f>MID(Tabla1[[#This Row],[ENLACE]],FIND("~",SUBSTITUTE(Tabla1[[#This Row],[ENLACE]],"/","~",2))+1,LEN(Tabla1[[#This Row],[ENLACE]]))</f>
        <v>eintracht-braunschweig</v>
      </c>
      <c r="B292" s="2" t="s">
        <v>242</v>
      </c>
      <c r="C292" t="str">
        <f>_xlfn.TEXTBEFORE(_xlfn.TEXTAFTER(Tabla1[[#This Row],[ENLACE]],"/",1),"/")</f>
        <v>germany</v>
      </c>
      <c r="D292" t="s">
        <v>730</v>
      </c>
      <c r="E292" s="8" t="str">
        <f ca="1">IF(VLOOKUP(Tabla1[[#This Row],[DIVISION]],$H$2:$I$44,2)="X","SI","NO")</f>
        <v>SI</v>
      </c>
    </row>
    <row r="293" spans="1:5" x14ac:dyDescent="0.3">
      <c r="A293" t="str">
        <f>MID(Tabla1[[#This Row],[ENLACE]],FIND("~",SUBSTITUTE(Tabla1[[#This Row],[ENLACE]],"/","~",2))+1,LEN(Tabla1[[#This Row],[ENLACE]]))</f>
        <v>fc-energie-cottbus</v>
      </c>
      <c r="B293" s="5" t="s">
        <v>590</v>
      </c>
      <c r="C293" t="str">
        <f>_xlfn.TEXTBEFORE(_xlfn.TEXTAFTER(Tabla1[[#This Row],[ENLACE]],"/",1),"/")</f>
        <v>germany</v>
      </c>
      <c r="D293" t="s">
        <v>730</v>
      </c>
      <c r="E293" s="8" t="str">
        <f ca="1">IF(VLOOKUP(Tabla1[[#This Row],[DIVISION]],$H$2:$I$44,2)="X","SI","NO")</f>
        <v>SI</v>
      </c>
    </row>
    <row r="294" spans="1:5" x14ac:dyDescent="0.3">
      <c r="A294" t="str">
        <f>MID(Tabla1[[#This Row],[ENLACE]],FIND("~",SUBSTITUTE(Tabla1[[#This Row],[ENLACE]],"/","~",2))+1,LEN(Tabla1[[#This Row],[ENLACE]]))</f>
        <v>darmstadt-98</v>
      </c>
      <c r="B294" s="2" t="s">
        <v>243</v>
      </c>
      <c r="C294" t="str">
        <f>_xlfn.TEXTBEFORE(_xlfn.TEXTAFTER(Tabla1[[#This Row],[ENLACE]],"/",1),"/")</f>
        <v>germany</v>
      </c>
      <c r="D294" t="s">
        <v>730</v>
      </c>
      <c r="E294" s="8" t="str">
        <f ca="1">IF(VLOOKUP(Tabla1[[#This Row],[DIVISION]],$H$2:$I$44,2)="X","SI","NO")</f>
        <v>SI</v>
      </c>
    </row>
    <row r="295" spans="1:5" x14ac:dyDescent="0.3">
      <c r="A295" t="str">
        <f>MID(Tabla1[[#This Row],[ENLACE]],FIND("~",SUBSTITUTE(Tabla1[[#This Row],[ENLACE]],"/","~",2))+1,LEN(Tabla1[[#This Row],[ENLACE]]))</f>
        <v>dynamo-dresden</v>
      </c>
      <c r="B295" s="5" t="s">
        <v>244</v>
      </c>
      <c r="C295" t="str">
        <f>_xlfn.TEXTBEFORE(_xlfn.TEXTAFTER(Tabla1[[#This Row],[ENLACE]],"/",1),"/")</f>
        <v>germany</v>
      </c>
      <c r="D295" t="s">
        <v>730</v>
      </c>
      <c r="E295" s="8" t="str">
        <f ca="1">IF(VLOOKUP(Tabla1[[#This Row],[DIVISION]],$H$2:$I$44,2)="X","SI","NO")</f>
        <v>SI</v>
      </c>
    </row>
    <row r="296" spans="1:5" x14ac:dyDescent="0.3">
      <c r="A296" t="str">
        <f>MID(Tabla1[[#This Row],[ENLACE]],FIND("~",SUBSTITUTE(Tabla1[[#This Row],[ENLACE]],"/","~",2))+1,LEN(Tabla1[[#This Row],[ENLACE]]))</f>
        <v>greuther-furth</v>
      </c>
      <c r="B296" s="2" t="s">
        <v>245</v>
      </c>
      <c r="C296" t="str">
        <f>_xlfn.TEXTBEFORE(_xlfn.TEXTAFTER(Tabla1[[#This Row],[ENLACE]],"/",1),"/")</f>
        <v>germany</v>
      </c>
      <c r="D296" t="s">
        <v>730</v>
      </c>
      <c r="E296" s="8" t="str">
        <f ca="1">IF(VLOOKUP(Tabla1[[#This Row],[DIVISION]],$H$2:$I$44,2)="X","SI","NO")</f>
        <v>SI</v>
      </c>
    </row>
    <row r="297" spans="1:5" x14ac:dyDescent="0.3">
      <c r="A297" t="str">
        <f>MID(Tabla1[[#This Row],[ENLACE]],FIND("~",SUBSTITUTE(Tabla1[[#This Row],[ENLACE]],"/","~",2))+1,LEN(Tabla1[[#This Row],[ENLACE]]))</f>
        <v>hannover-96</v>
      </c>
      <c r="B297" s="5" t="s">
        <v>246</v>
      </c>
      <c r="C297" t="str">
        <f>_xlfn.TEXTBEFORE(_xlfn.TEXTAFTER(Tabla1[[#This Row],[ENLACE]],"/",1),"/")</f>
        <v>germany</v>
      </c>
      <c r="D297" t="s">
        <v>730</v>
      </c>
      <c r="E297" s="8" t="str">
        <f ca="1">IF(VLOOKUP(Tabla1[[#This Row],[DIVISION]],$H$2:$I$44,2)="X","SI","NO")</f>
        <v>SI</v>
      </c>
    </row>
    <row r="298" spans="1:5" x14ac:dyDescent="0.3">
      <c r="A298" t="str">
        <f>MID(Tabla1[[#This Row],[ENLACE]],FIND("~",SUBSTITUTE(Tabla1[[#This Row],[ENLACE]],"/","~",2))+1,LEN(Tabla1[[#This Row],[ENLACE]]))</f>
        <v>fc-heidenheim</v>
      </c>
      <c r="B298" s="2" t="s">
        <v>67</v>
      </c>
      <c r="C298" t="str">
        <f>_xlfn.TEXTBEFORE(_xlfn.TEXTAFTER(Tabla1[[#This Row],[ENLACE]],"/",1),"/")</f>
        <v>germany</v>
      </c>
      <c r="D298" t="s">
        <v>730</v>
      </c>
      <c r="E298" s="8" t="str">
        <f ca="1">IF(VLOOKUP(Tabla1[[#This Row],[DIVISION]],$H$2:$I$44,2)="X","SI","NO")</f>
        <v>SI</v>
      </c>
    </row>
    <row r="299" spans="1:5" x14ac:dyDescent="0.3">
      <c r="A299" t="str">
        <f>MID(Tabla1[[#This Row],[ENLACE]],FIND("~",SUBSTITUTE(Tabla1[[#This Row],[ENLACE]],"/","~",2))+1,LEN(Tabla1[[#This Row],[ENLACE]]))</f>
        <v>hertha-berlin</v>
      </c>
      <c r="B299" s="5" t="s">
        <v>247</v>
      </c>
      <c r="C299" t="str">
        <f>_xlfn.TEXTBEFORE(_xlfn.TEXTAFTER(Tabla1[[#This Row],[ENLACE]],"/",1),"/")</f>
        <v>germany</v>
      </c>
      <c r="D299" t="s">
        <v>730</v>
      </c>
      <c r="E299" s="8" t="str">
        <f ca="1">IF(VLOOKUP(Tabla1[[#This Row],[DIVISION]],$H$2:$I$44,2)="X","SI","NO")</f>
        <v>SI</v>
      </c>
    </row>
    <row r="300" spans="1:5" x14ac:dyDescent="0.3">
      <c r="A300" t="str">
        <f>MID(Tabla1[[#This Row],[ENLACE]],FIND("~",SUBSTITUTE(Tabla1[[#This Row],[ENLACE]],"/","~",2))+1,LEN(Tabla1[[#This Row],[ENLACE]]))</f>
        <v>fc-kaiserslautern</v>
      </c>
      <c r="B300" s="2" t="s">
        <v>248</v>
      </c>
      <c r="C300" t="str">
        <f>_xlfn.TEXTBEFORE(_xlfn.TEXTAFTER(Tabla1[[#This Row],[ENLACE]],"/",1),"/")</f>
        <v>germany</v>
      </c>
      <c r="D300" t="s">
        <v>730</v>
      </c>
      <c r="E300" s="8" t="str">
        <f ca="1">IF(VLOOKUP(Tabla1[[#This Row],[DIVISION]],$H$2:$I$44,2)="X","SI","NO")</f>
        <v>SI</v>
      </c>
    </row>
    <row r="301" spans="1:5" x14ac:dyDescent="0.3">
      <c r="A301" t="str">
        <f>MID(Tabla1[[#This Row],[ENLACE]],FIND("~",SUBSTITUTE(Tabla1[[#This Row],[ENLACE]],"/","~",2))+1,LEN(Tabla1[[#This Row],[ENLACE]]))</f>
        <v>karlsruher-sc</v>
      </c>
      <c r="B301" s="5" t="s">
        <v>249</v>
      </c>
      <c r="C301" t="str">
        <f>_xlfn.TEXTBEFORE(_xlfn.TEXTAFTER(Tabla1[[#This Row],[ENLACE]],"/",1),"/")</f>
        <v>germany</v>
      </c>
      <c r="D301" t="s">
        <v>730</v>
      </c>
      <c r="E301" s="8" t="str">
        <f ca="1">IF(VLOOKUP(Tabla1[[#This Row],[DIVISION]],$H$2:$I$44,2)="X","SI","NO")</f>
        <v>SI</v>
      </c>
    </row>
    <row r="302" spans="1:5" x14ac:dyDescent="0.3">
      <c r="A302" t="str">
        <f>MID(Tabla1[[#This Row],[ENLACE]],FIND("~",SUBSTITUTE(Tabla1[[#This Row],[ENLACE]],"/","~",2))+1,LEN(Tabla1[[#This Row],[ENLACE]]))</f>
        <v>holstein-kiel</v>
      </c>
      <c r="B302" s="2" t="s">
        <v>69</v>
      </c>
      <c r="C302" t="str">
        <f>_xlfn.TEXTBEFORE(_xlfn.TEXTAFTER(Tabla1[[#This Row],[ENLACE]],"/",1),"/")</f>
        <v>germany</v>
      </c>
      <c r="D302" t="s">
        <v>730</v>
      </c>
      <c r="E302" s="8" t="str">
        <f ca="1">IF(VLOOKUP(Tabla1[[#This Row],[DIVISION]],$H$2:$I$44,2)="X","SI","NO")</f>
        <v>SI</v>
      </c>
    </row>
    <row r="303" spans="1:5" x14ac:dyDescent="0.3">
      <c r="A303" t="str">
        <f>MID(Tabla1[[#This Row],[ENLACE]],FIND("~",SUBSTITUTE(Tabla1[[#This Row],[ENLACE]],"/","~",2))+1,LEN(Tabla1[[#This Row],[ENLACE]]))</f>
        <v>fc-magdeburg</v>
      </c>
      <c r="B303" s="5" t="s">
        <v>250</v>
      </c>
      <c r="C303" t="str">
        <f>_xlfn.TEXTBEFORE(_xlfn.TEXTAFTER(Tabla1[[#This Row],[ENLACE]],"/",1),"/")</f>
        <v>germany</v>
      </c>
      <c r="D303" t="s">
        <v>730</v>
      </c>
      <c r="E303" s="8" t="str">
        <f ca="1">IF(VLOOKUP(Tabla1[[#This Row],[DIVISION]],$H$2:$I$44,2)="X","SI","NO")</f>
        <v>SI</v>
      </c>
    </row>
    <row r="304" spans="1:5" x14ac:dyDescent="0.3">
      <c r="A304" t="str">
        <f>MID(Tabla1[[#This Row],[ENLACE]],FIND("~",SUBSTITUTE(Tabla1[[#This Row],[ENLACE]],"/","~",2))+1,LEN(Tabla1[[#This Row],[ENLACE]]))</f>
        <v>fc-nurnberg</v>
      </c>
      <c r="B304" s="2" t="s">
        <v>251</v>
      </c>
      <c r="C304" t="str">
        <f>_xlfn.TEXTBEFORE(_xlfn.TEXTAFTER(Tabla1[[#This Row],[ENLACE]],"/",1),"/")</f>
        <v>germany</v>
      </c>
      <c r="D304" t="s">
        <v>730</v>
      </c>
      <c r="E304" s="8" t="str">
        <f ca="1">IF(VLOOKUP(Tabla1[[#This Row],[DIVISION]],$H$2:$I$44,2)="X","SI","NO")</f>
        <v>SI</v>
      </c>
    </row>
    <row r="305" spans="1:5" x14ac:dyDescent="0.3">
      <c r="A305" t="str">
        <f>MID(Tabla1[[#This Row],[ENLACE]],FIND("~",SUBSTITUTE(Tabla1[[#This Row],[ENLACE]],"/","~",2))+1,LEN(Tabla1[[#This Row],[ENLACE]]))</f>
        <v>vfl-osnabruck</v>
      </c>
      <c r="B305" s="5" t="s">
        <v>591</v>
      </c>
      <c r="C305" t="str">
        <f>_xlfn.TEXTBEFORE(_xlfn.TEXTAFTER(Tabla1[[#This Row],[ENLACE]],"/",1),"/")</f>
        <v>germany</v>
      </c>
      <c r="D305" t="s">
        <v>730</v>
      </c>
      <c r="E305" s="8" t="str">
        <f ca="1">IF(VLOOKUP(Tabla1[[#This Row],[DIVISION]],$H$2:$I$44,2)="X","SI","NO")</f>
        <v>SI</v>
      </c>
    </row>
    <row r="306" spans="1:5" x14ac:dyDescent="0.3">
      <c r="A306" t="str">
        <f>MID(Tabla1[[#This Row],[ENLACE]],FIND("~",SUBSTITUTE(Tabla1[[#This Row],[ENLACE]],"/","~",2))+1,LEN(Tabla1[[#This Row],[ENLACE]]))</f>
        <v>fc-st-pauli</v>
      </c>
      <c r="B306" s="2" t="s">
        <v>74</v>
      </c>
      <c r="C306" t="str">
        <f>_xlfn.TEXTBEFORE(_xlfn.TEXTAFTER(Tabla1[[#This Row],[ENLACE]],"/",1),"/")</f>
        <v>germany</v>
      </c>
      <c r="D306" t="s">
        <v>730</v>
      </c>
      <c r="E306" s="8" t="str">
        <f ca="1">IF(VLOOKUP(Tabla1[[#This Row],[DIVISION]],$H$2:$I$44,2)="X","SI","NO")</f>
        <v>SI</v>
      </c>
    </row>
    <row r="307" spans="1:5" x14ac:dyDescent="0.3">
      <c r="A307" t="str">
        <f>MID(Tabla1[[#This Row],[ENLACE]],FIND("~",SUBSTITUTE(Tabla1[[#This Row],[ENLACE]],"/","~",2))+1,LEN(Tabla1[[#This Row],[ENLACE]]))</f>
        <v>vfl-wolfsburg</v>
      </c>
      <c r="B307" s="5" t="s">
        <v>77</v>
      </c>
      <c r="C307" t="str">
        <f>_xlfn.TEXTBEFORE(_xlfn.TEXTAFTER(Tabla1[[#This Row],[ENLACE]],"/",1),"/")</f>
        <v>germany</v>
      </c>
      <c r="D307" t="s">
        <v>730</v>
      </c>
      <c r="E307" s="8" t="str">
        <f ca="1">IF(VLOOKUP(Tabla1[[#This Row],[DIVISION]],$H$2:$I$44,2)="X","SI","NO")</f>
        <v>SI</v>
      </c>
    </row>
    <row r="308" spans="1:5" x14ac:dyDescent="0.3">
      <c r="A308" t="str">
        <f>MID(Tabla1[[#This Row],[ENLACE]],FIND("~",SUBSTITUTE(Tabla1[[#This Row],[ENLACE]],"/","~",2))+1,LEN(Tabla1[[#This Row],[ENLACE]]))</f>
        <v>aek-athens-fc</v>
      </c>
      <c r="B308" s="5" t="s">
        <v>473</v>
      </c>
      <c r="C308" t="str">
        <f>_xlfn.TEXTBEFORE(_xlfn.TEXTAFTER(Tabla1[[#This Row],[ENLACE]],"/",1),"/")</f>
        <v>greece</v>
      </c>
      <c r="D308" t="str">
        <f>Tabla1[[#This Row],[PAIS]]</f>
        <v>greece</v>
      </c>
      <c r="E308" s="8" t="str">
        <f ca="1">IF(VLOOKUP(Tabla1[[#This Row],[DIVISION]],$H$2:$I$44,2)="X","SI","NO")</f>
        <v>SI</v>
      </c>
    </row>
    <row r="309" spans="1:5" x14ac:dyDescent="0.3">
      <c r="A309" t="str">
        <f>MID(Tabla1[[#This Row],[ENLACE]],FIND("~",SUBSTITUTE(Tabla1[[#This Row],[ENLACE]],"/","~",2))+1,LEN(Tabla1[[#This Row],[ENLACE]]))</f>
        <v>aris-thessaloniki-fc</v>
      </c>
      <c r="B309" s="5" t="s">
        <v>474</v>
      </c>
      <c r="C309" t="str">
        <f>_xlfn.TEXTBEFORE(_xlfn.TEXTAFTER(Tabla1[[#This Row],[ENLACE]],"/",1),"/")</f>
        <v>greece</v>
      </c>
      <c r="D309" t="str">
        <f>Tabla1[[#This Row],[PAIS]]</f>
        <v>greece</v>
      </c>
      <c r="E309" s="8" t="str">
        <f ca="1">IF(VLOOKUP(Tabla1[[#This Row],[DIVISION]],$H$2:$I$44,2)="X","SI","NO")</f>
        <v>SI</v>
      </c>
    </row>
    <row r="310" spans="1:5" x14ac:dyDescent="0.3">
      <c r="A310" t="str">
        <f>MID(Tabla1[[#This Row],[ENLACE]],FIND("~",SUBSTITUTE(Tabla1[[#This Row],[ENLACE]],"/","~",2))+1,LEN(Tabla1[[#This Row],[ENLACE]]))</f>
        <v>asteras-tripolis-fc</v>
      </c>
      <c r="B310" s="5" t="s">
        <v>475</v>
      </c>
      <c r="C310" t="str">
        <f>_xlfn.TEXTBEFORE(_xlfn.TEXTAFTER(Tabla1[[#This Row],[ENLACE]],"/",1),"/")</f>
        <v>greece</v>
      </c>
      <c r="D310" t="str">
        <f>Tabla1[[#This Row],[PAIS]]</f>
        <v>greece</v>
      </c>
      <c r="E310" s="8" t="str">
        <f ca="1">IF(VLOOKUP(Tabla1[[#This Row],[DIVISION]],$H$2:$I$44,2)="X","SI","NO")</f>
        <v>SI</v>
      </c>
    </row>
    <row r="311" spans="1:5" x14ac:dyDescent="0.3">
      <c r="A311" t="str">
        <f>MID(Tabla1[[#This Row],[ENLACE]],FIND("~",SUBSTITUTE(Tabla1[[#This Row],[ENLACE]],"/","~",2))+1,LEN(Tabla1[[#This Row],[ENLACE]]))</f>
        <v>atromitos-fc</v>
      </c>
      <c r="B311" s="5" t="s">
        <v>476</v>
      </c>
      <c r="C311" t="str">
        <f>_xlfn.TEXTBEFORE(_xlfn.TEXTAFTER(Tabla1[[#This Row],[ENLACE]],"/",1),"/")</f>
        <v>greece</v>
      </c>
      <c r="D311" t="str">
        <f>Tabla1[[#This Row],[PAIS]]</f>
        <v>greece</v>
      </c>
      <c r="E311" s="8" t="str">
        <f ca="1">IF(VLOOKUP(Tabla1[[#This Row],[DIVISION]],$H$2:$I$44,2)="X","SI","NO")</f>
        <v>SI</v>
      </c>
    </row>
    <row r="312" spans="1:5" x14ac:dyDescent="0.3">
      <c r="A312" t="str">
        <f>MID(Tabla1[[#This Row],[ENLACE]],FIND("~",SUBSTITUTE(Tabla1[[#This Row],[ENLACE]],"/","~",2))+1,LEN(Tabla1[[#This Row],[ENLACE]]))</f>
        <v>iraklis-fc</v>
      </c>
      <c r="B312" s="5" t="s">
        <v>619</v>
      </c>
      <c r="C312" t="str">
        <f>_xlfn.TEXTBEFORE(_xlfn.TEXTAFTER(Tabla1[[#This Row],[ENLACE]],"/",1),"/")</f>
        <v>greece</v>
      </c>
      <c r="D312" t="str">
        <f>Tabla1[[#This Row],[PAIS]]</f>
        <v>greece</v>
      </c>
      <c r="E312" s="8" t="str">
        <f ca="1">IF(VLOOKUP(Tabla1[[#This Row],[DIVISION]],$H$2:$I$44,2)="X","SI","NO")</f>
        <v>SI</v>
      </c>
    </row>
    <row r="313" spans="1:5" x14ac:dyDescent="0.3">
      <c r="A313" t="str">
        <f>MID(Tabla1[[#This Row],[ENLACE]],FIND("~",SUBSTITUTE(Tabla1[[#This Row],[ENLACE]],"/","~",2))+1,LEN(Tabla1[[#This Row],[ENLACE]]))</f>
        <v>kalamata-fc</v>
      </c>
      <c r="B313" s="5" t="s">
        <v>620</v>
      </c>
      <c r="C313" t="str">
        <f>_xlfn.TEXTBEFORE(_xlfn.TEXTAFTER(Tabla1[[#This Row],[ENLACE]],"/",1),"/")</f>
        <v>greece</v>
      </c>
      <c r="D313" t="str">
        <f>Tabla1[[#This Row],[PAIS]]</f>
        <v>greece</v>
      </c>
      <c r="E313" s="8" t="str">
        <f ca="1">IF(VLOOKUP(Tabla1[[#This Row],[DIVISION]],$H$2:$I$44,2)="X","SI","NO")</f>
        <v>SI</v>
      </c>
    </row>
    <row r="314" spans="1:5" x14ac:dyDescent="0.3">
      <c r="A314" t="str">
        <f>MID(Tabla1[[#This Row],[ENLACE]],FIND("~",SUBSTITUTE(Tabla1[[#This Row],[ENLACE]],"/","~",2))+1,LEN(Tabla1[[#This Row],[ENLACE]]))</f>
        <v>ae-kifisia-fc</v>
      </c>
      <c r="B314" s="5" t="s">
        <v>477</v>
      </c>
      <c r="C314" t="str">
        <f>_xlfn.TEXTBEFORE(_xlfn.TEXTAFTER(Tabla1[[#This Row],[ENLACE]],"/",1),"/")</f>
        <v>greece</v>
      </c>
      <c r="D314" t="str">
        <f>Tabla1[[#This Row],[PAIS]]</f>
        <v>greece</v>
      </c>
      <c r="E314" s="8" t="str">
        <f ca="1">IF(VLOOKUP(Tabla1[[#This Row],[DIVISION]],$H$2:$I$44,2)="X","SI","NO")</f>
        <v>SI</v>
      </c>
    </row>
    <row r="315" spans="1:5" x14ac:dyDescent="0.3">
      <c r="A315" t="str">
        <f>MID(Tabla1[[#This Row],[ENLACE]],FIND("~",SUBSTITUTE(Tabla1[[#This Row],[ENLACE]],"/","~",2))+1,LEN(Tabla1[[#This Row],[ENLACE]]))</f>
        <v>levadiakos-fc</v>
      </c>
      <c r="B315" s="5" t="s">
        <v>478</v>
      </c>
      <c r="C315" t="str">
        <f>_xlfn.TEXTBEFORE(_xlfn.TEXTAFTER(Tabla1[[#This Row],[ENLACE]],"/",1),"/")</f>
        <v>greece</v>
      </c>
      <c r="D315" t="str">
        <f>Tabla1[[#This Row],[PAIS]]</f>
        <v>greece</v>
      </c>
      <c r="E315" s="8" t="str">
        <f ca="1">IF(VLOOKUP(Tabla1[[#This Row],[DIVISION]],$H$2:$I$44,2)="X","SI","NO")</f>
        <v>SI</v>
      </c>
    </row>
    <row r="316" spans="1:5" x14ac:dyDescent="0.3">
      <c r="A316" t="str">
        <f>MID(Tabla1[[#This Row],[ENLACE]],FIND("~",SUBSTITUTE(Tabla1[[#This Row],[ENLACE]],"/","~",2))+1,LEN(Tabla1[[#This Row],[ENLACE]]))</f>
        <v>ofi-crete-fc</v>
      </c>
      <c r="B316" s="5" t="s">
        <v>479</v>
      </c>
      <c r="C316" t="str">
        <f>_xlfn.TEXTBEFORE(_xlfn.TEXTAFTER(Tabla1[[#This Row],[ENLACE]],"/",1),"/")</f>
        <v>greece</v>
      </c>
      <c r="D316" t="str">
        <f>Tabla1[[#This Row],[PAIS]]</f>
        <v>greece</v>
      </c>
      <c r="E316" s="8" t="str">
        <f ca="1">IF(VLOOKUP(Tabla1[[#This Row],[DIVISION]],$H$2:$I$44,2)="X","SI","NO")</f>
        <v>SI</v>
      </c>
    </row>
    <row r="317" spans="1:5" x14ac:dyDescent="0.3">
      <c r="A317" t="str">
        <f>MID(Tabla1[[#This Row],[ENLACE]],FIND("~",SUBSTITUTE(Tabla1[[#This Row],[ENLACE]],"/","~",2))+1,LEN(Tabla1[[#This Row],[ENLACE]]))</f>
        <v>olympiacos-fc</v>
      </c>
      <c r="B317" s="5" t="s">
        <v>480</v>
      </c>
      <c r="C317" t="str">
        <f>_xlfn.TEXTBEFORE(_xlfn.TEXTAFTER(Tabla1[[#This Row],[ENLACE]],"/",1),"/")</f>
        <v>greece</v>
      </c>
      <c r="D317" t="str">
        <f>Tabla1[[#This Row],[PAIS]]</f>
        <v>greece</v>
      </c>
      <c r="E317" s="8" t="str">
        <f ca="1">IF(VLOOKUP(Tabla1[[#This Row],[DIVISION]],$H$2:$I$44,2)="X","SI","NO")</f>
        <v>SI</v>
      </c>
    </row>
    <row r="318" spans="1:5" x14ac:dyDescent="0.3">
      <c r="A318" t="str">
        <f>MID(Tabla1[[#This Row],[ENLACE]],FIND("~",SUBSTITUTE(Tabla1[[#This Row],[ENLACE]],"/","~",2))+1,LEN(Tabla1[[#This Row],[ENLACE]]))</f>
        <v>panathinaikos-fc</v>
      </c>
      <c r="B318" s="5" t="s">
        <v>481</v>
      </c>
      <c r="C318" t="str">
        <f>_xlfn.TEXTBEFORE(_xlfn.TEXTAFTER(Tabla1[[#This Row],[ENLACE]],"/",1),"/")</f>
        <v>greece</v>
      </c>
      <c r="D318" t="str">
        <f>Tabla1[[#This Row],[PAIS]]</f>
        <v>greece</v>
      </c>
      <c r="E318" s="8" t="str">
        <f ca="1">IF(VLOOKUP(Tabla1[[#This Row],[DIVISION]],$H$2:$I$44,2)="X","SI","NO")</f>
        <v>SI</v>
      </c>
    </row>
    <row r="319" spans="1:5" x14ac:dyDescent="0.3">
      <c r="A319" t="str">
        <f>MID(Tabla1[[#This Row],[ENLACE]],FIND("~",SUBSTITUTE(Tabla1[[#This Row],[ENLACE]],"/","~",2))+1,LEN(Tabla1[[#This Row],[ENLACE]]))</f>
        <v>panetolikos-fc</v>
      </c>
      <c r="B319" s="5" t="s">
        <v>482</v>
      </c>
      <c r="C319" t="str">
        <f>_xlfn.TEXTBEFORE(_xlfn.TEXTAFTER(Tabla1[[#This Row],[ENLACE]],"/",1),"/")</f>
        <v>greece</v>
      </c>
      <c r="D319" t="str">
        <f>Tabla1[[#This Row],[PAIS]]</f>
        <v>greece</v>
      </c>
      <c r="E319" s="8" t="str">
        <f ca="1">IF(VLOOKUP(Tabla1[[#This Row],[DIVISION]],$H$2:$I$44,2)="X","SI","NO")</f>
        <v>SI</v>
      </c>
    </row>
    <row r="320" spans="1:5" x14ac:dyDescent="0.3">
      <c r="A320" t="str">
        <f>MID(Tabla1[[#This Row],[ENLACE]],FIND("~",SUBSTITUTE(Tabla1[[#This Row],[ENLACE]],"/","~",2))+1,LEN(Tabla1[[#This Row],[ENLACE]]))</f>
        <v>paok-fc</v>
      </c>
      <c r="B320" s="5" t="s">
        <v>483</v>
      </c>
      <c r="C320" t="str">
        <f>_xlfn.TEXTBEFORE(_xlfn.TEXTAFTER(Tabla1[[#This Row],[ENLACE]],"/",1),"/")</f>
        <v>greece</v>
      </c>
      <c r="D320" t="str">
        <f>Tabla1[[#This Row],[PAIS]]</f>
        <v>greece</v>
      </c>
      <c r="E320" s="8" t="str">
        <f ca="1">IF(VLOOKUP(Tabla1[[#This Row],[DIVISION]],$H$2:$I$44,2)="X","SI","NO")</f>
        <v>SI</v>
      </c>
    </row>
    <row r="321" spans="1:5" x14ac:dyDescent="0.3">
      <c r="A321" t="str">
        <f>MID(Tabla1[[#This Row],[ENLACE]],FIND("~",SUBSTITUTE(Tabla1[[#This Row],[ENLACE]],"/","~",2))+1,LEN(Tabla1[[#This Row],[ENLACE]]))</f>
        <v>volos-fc</v>
      </c>
      <c r="B321" s="5" t="s">
        <v>484</v>
      </c>
      <c r="C321" t="str">
        <f>_xlfn.TEXTBEFORE(_xlfn.TEXTAFTER(Tabla1[[#This Row],[ENLACE]],"/",1),"/")</f>
        <v>greece</v>
      </c>
      <c r="D321" t="str">
        <f>Tabla1[[#This Row],[PAIS]]</f>
        <v>greece</v>
      </c>
      <c r="E321" s="8" t="str">
        <f ca="1">IF(VLOOKUP(Tabla1[[#This Row],[DIVISION]],$H$2:$I$44,2)="X","SI","NO")</f>
        <v>SI</v>
      </c>
    </row>
    <row r="322" spans="1:5" x14ac:dyDescent="0.3">
      <c r="A322" t="str">
        <f>MID(Tabla1[[#This Row],[ENLACE]],FIND("~",SUBSTITUTE(Tabla1[[#This Row],[ENLACE]],"/","~",2))+1,LEN(Tabla1[[#This Row],[ENLACE]]))</f>
        <v>ac-milan</v>
      </c>
      <c r="B322" s="2" t="s">
        <v>252</v>
      </c>
      <c r="C322" t="str">
        <f>_xlfn.TEXTBEFORE(_xlfn.TEXTAFTER(Tabla1[[#This Row],[ENLACE]],"/",1),"/")</f>
        <v>italy</v>
      </c>
      <c r="D322" t="str">
        <f>Tabla1[[#This Row],[PAIS]]</f>
        <v>italy</v>
      </c>
      <c r="E322" s="8" t="str">
        <f ca="1">IF(VLOOKUP(Tabla1[[#This Row],[DIVISION]],$H$2:$I$44,2)="X","SI","NO")</f>
        <v>SI</v>
      </c>
    </row>
    <row r="323" spans="1:5" x14ac:dyDescent="0.3">
      <c r="A323" t="str">
        <f>MID(Tabla1[[#This Row],[ENLACE]],FIND("~",SUBSTITUTE(Tabla1[[#This Row],[ENLACE]],"/","~",2))+1,LEN(Tabla1[[#This Row],[ENLACE]]))</f>
        <v>as-roma</v>
      </c>
      <c r="B323" s="5" t="s">
        <v>253</v>
      </c>
      <c r="C323" t="str">
        <f>_xlfn.TEXTBEFORE(_xlfn.TEXTAFTER(Tabla1[[#This Row],[ENLACE]],"/",1),"/")</f>
        <v>italy</v>
      </c>
      <c r="D323" t="str">
        <f>Tabla1[[#This Row],[PAIS]]</f>
        <v>italy</v>
      </c>
      <c r="E323" s="8" t="str">
        <f ca="1">IF(VLOOKUP(Tabla1[[#This Row],[DIVISION]],$H$2:$I$44,2)="X","SI","NO")</f>
        <v>SI</v>
      </c>
    </row>
    <row r="324" spans="1:5" x14ac:dyDescent="0.3">
      <c r="A324" t="str">
        <f>MID(Tabla1[[#This Row],[ENLACE]],FIND("~",SUBSTITUTE(Tabla1[[#This Row],[ENLACE]],"/","~",2))+1,LEN(Tabla1[[#This Row],[ENLACE]]))</f>
        <v>atalanta-bc</v>
      </c>
      <c r="B324" s="2" t="s">
        <v>254</v>
      </c>
      <c r="C324" t="str">
        <f>_xlfn.TEXTBEFORE(_xlfn.TEXTAFTER(Tabla1[[#This Row],[ENLACE]],"/",1),"/")</f>
        <v>italy</v>
      </c>
      <c r="D324" t="str">
        <f>Tabla1[[#This Row],[PAIS]]</f>
        <v>italy</v>
      </c>
      <c r="E324" s="8" t="str">
        <f ca="1">IF(VLOOKUP(Tabla1[[#This Row],[DIVISION]],$H$2:$I$44,2)="X","SI","NO")</f>
        <v>SI</v>
      </c>
    </row>
    <row r="325" spans="1:5" x14ac:dyDescent="0.3">
      <c r="A325" t="str">
        <f>MID(Tabla1[[#This Row],[ENLACE]],FIND("~",SUBSTITUTE(Tabla1[[#This Row],[ENLACE]],"/","~",2))+1,LEN(Tabla1[[#This Row],[ENLACE]]))</f>
        <v>bologna-fc-1909</v>
      </c>
      <c r="B325" s="5" t="s">
        <v>255</v>
      </c>
      <c r="C325" t="str">
        <f>_xlfn.TEXTBEFORE(_xlfn.TEXTAFTER(Tabla1[[#This Row],[ENLACE]],"/",1),"/")</f>
        <v>italy</v>
      </c>
      <c r="D325" t="str">
        <f>Tabla1[[#This Row],[PAIS]]</f>
        <v>italy</v>
      </c>
      <c r="E325" s="8" t="str">
        <f ca="1">IF(VLOOKUP(Tabla1[[#This Row],[DIVISION]],$H$2:$I$44,2)="X","SI","NO")</f>
        <v>SI</v>
      </c>
    </row>
    <row r="326" spans="1:5" x14ac:dyDescent="0.3">
      <c r="A326" t="str">
        <f>MID(Tabla1[[#This Row],[ENLACE]],FIND("~",SUBSTITUTE(Tabla1[[#This Row],[ENLACE]],"/","~",2))+1,LEN(Tabla1[[#This Row],[ENLACE]]))</f>
        <v>cagliari-calcio</v>
      </c>
      <c r="B326" s="2" t="s">
        <v>256</v>
      </c>
      <c r="C326" t="str">
        <f>_xlfn.TEXTBEFORE(_xlfn.TEXTAFTER(Tabla1[[#This Row],[ENLACE]],"/",1),"/")</f>
        <v>italy</v>
      </c>
      <c r="D326" t="str">
        <f>Tabla1[[#This Row],[PAIS]]</f>
        <v>italy</v>
      </c>
      <c r="E326" s="8" t="str">
        <f ca="1">IF(VLOOKUP(Tabla1[[#This Row],[DIVISION]],$H$2:$I$44,2)="X","SI","NO")</f>
        <v>SI</v>
      </c>
    </row>
    <row r="327" spans="1:5" x14ac:dyDescent="0.3">
      <c r="A327" t="str">
        <f>MID(Tabla1[[#This Row],[ENLACE]],FIND("~",SUBSTITUTE(Tabla1[[#This Row],[ENLACE]],"/","~",2))+1,LEN(Tabla1[[#This Row],[ENLACE]]))</f>
        <v>como-1907</v>
      </c>
      <c r="B327" s="5" t="s">
        <v>257</v>
      </c>
      <c r="C327" t="str">
        <f>_xlfn.TEXTBEFORE(_xlfn.TEXTAFTER(Tabla1[[#This Row],[ENLACE]],"/",1),"/")</f>
        <v>italy</v>
      </c>
      <c r="D327" t="str">
        <f>Tabla1[[#This Row],[PAIS]]</f>
        <v>italy</v>
      </c>
      <c r="E327" s="8" t="str">
        <f ca="1">IF(VLOOKUP(Tabla1[[#This Row],[DIVISION]],$H$2:$I$44,2)="X","SI","NO")</f>
        <v>SI</v>
      </c>
    </row>
    <row r="328" spans="1:5" x14ac:dyDescent="0.3">
      <c r="A328" t="str">
        <f>MID(Tabla1[[#This Row],[ENLACE]],FIND("~",SUBSTITUTE(Tabla1[[#This Row],[ENLACE]],"/","~",2))+1,LEN(Tabla1[[#This Row],[ENLACE]]))</f>
        <v>acf-fiorentina</v>
      </c>
      <c r="B328" s="2" t="s">
        <v>258</v>
      </c>
      <c r="C328" t="str">
        <f>_xlfn.TEXTBEFORE(_xlfn.TEXTAFTER(Tabla1[[#This Row],[ENLACE]],"/",1),"/")</f>
        <v>italy</v>
      </c>
      <c r="D328" t="str">
        <f>Tabla1[[#This Row],[PAIS]]</f>
        <v>italy</v>
      </c>
      <c r="E328" s="8" t="str">
        <f ca="1">IF(VLOOKUP(Tabla1[[#This Row],[DIVISION]],$H$2:$I$44,2)="X","SI","NO")</f>
        <v>SI</v>
      </c>
    </row>
    <row r="329" spans="1:5" x14ac:dyDescent="0.3">
      <c r="A329" t="str">
        <f>MID(Tabla1[[#This Row],[ENLACE]],FIND("~",SUBSTITUTE(Tabla1[[#This Row],[ENLACE]],"/","~",2))+1,LEN(Tabla1[[#This Row],[ENLACE]]))</f>
        <v>frosinone-calcio</v>
      </c>
      <c r="B329" s="5" t="s">
        <v>621</v>
      </c>
      <c r="C329" t="str">
        <f>_xlfn.TEXTBEFORE(_xlfn.TEXTAFTER(Tabla1[[#This Row],[ENLACE]],"/",1),"/")</f>
        <v>italy</v>
      </c>
      <c r="D329" t="str">
        <f>Tabla1[[#This Row],[PAIS]]</f>
        <v>italy</v>
      </c>
      <c r="E329" s="8" t="str">
        <f ca="1">IF(VLOOKUP(Tabla1[[#This Row],[DIVISION]],$H$2:$I$44,2)="X","SI","NO")</f>
        <v>SI</v>
      </c>
    </row>
    <row r="330" spans="1:5" x14ac:dyDescent="0.3">
      <c r="A330" t="str">
        <f>MID(Tabla1[[#This Row],[ENLACE]],FIND("~",SUBSTITUTE(Tabla1[[#This Row],[ENLACE]],"/","~",2))+1,LEN(Tabla1[[#This Row],[ENLACE]]))</f>
        <v>genoa-cfc</v>
      </c>
      <c r="B330" s="2" t="s">
        <v>259</v>
      </c>
      <c r="C330" t="str">
        <f>_xlfn.TEXTBEFORE(_xlfn.TEXTAFTER(Tabla1[[#This Row],[ENLACE]],"/",1),"/")</f>
        <v>italy</v>
      </c>
      <c r="D330" t="str">
        <f>Tabla1[[#This Row],[PAIS]]</f>
        <v>italy</v>
      </c>
      <c r="E330" s="8" t="str">
        <f ca="1">IF(VLOOKUP(Tabla1[[#This Row],[DIVISION]],$H$2:$I$44,2)="X","SI","NO")</f>
        <v>SI</v>
      </c>
    </row>
    <row r="331" spans="1:5" x14ac:dyDescent="0.3">
      <c r="A331" t="str">
        <f>MID(Tabla1[[#This Row],[ENLACE]],FIND("~",SUBSTITUTE(Tabla1[[#This Row],[ENLACE]],"/","~",2))+1,LEN(Tabla1[[#This Row],[ENLACE]]))</f>
        <v>inter-milan</v>
      </c>
      <c r="B331" s="5" t="s">
        <v>260</v>
      </c>
      <c r="C331" t="str">
        <f>_xlfn.TEXTBEFORE(_xlfn.TEXTAFTER(Tabla1[[#This Row],[ENLACE]],"/",1),"/")</f>
        <v>italy</v>
      </c>
      <c r="D331" t="str">
        <f>Tabla1[[#This Row],[PAIS]]</f>
        <v>italy</v>
      </c>
      <c r="E331" s="8" t="str">
        <f ca="1">IF(VLOOKUP(Tabla1[[#This Row],[DIVISION]],$H$2:$I$44,2)="X","SI","NO")</f>
        <v>SI</v>
      </c>
    </row>
    <row r="332" spans="1:5" x14ac:dyDescent="0.3">
      <c r="A332" t="str">
        <f>MID(Tabla1[[#This Row],[ENLACE]],FIND("~",SUBSTITUTE(Tabla1[[#This Row],[ENLACE]],"/","~",2))+1,LEN(Tabla1[[#This Row],[ENLACE]]))</f>
        <v>juventus-fc</v>
      </c>
      <c r="B332" s="2" t="s">
        <v>261</v>
      </c>
      <c r="C332" t="str">
        <f>_xlfn.TEXTBEFORE(_xlfn.TEXTAFTER(Tabla1[[#This Row],[ENLACE]],"/",1),"/")</f>
        <v>italy</v>
      </c>
      <c r="D332" t="str">
        <f>Tabla1[[#This Row],[PAIS]]</f>
        <v>italy</v>
      </c>
      <c r="E332" s="8" t="str">
        <f ca="1">IF(VLOOKUP(Tabla1[[#This Row],[DIVISION]],$H$2:$I$44,2)="X","SI","NO")</f>
        <v>SI</v>
      </c>
    </row>
    <row r="333" spans="1:5" x14ac:dyDescent="0.3">
      <c r="A333" t="str">
        <f>MID(Tabla1[[#This Row],[ENLACE]],FIND("~",SUBSTITUTE(Tabla1[[#This Row],[ENLACE]],"/","~",2))+1,LEN(Tabla1[[#This Row],[ENLACE]]))</f>
        <v>ss-lazio</v>
      </c>
      <c r="B333" s="5" t="s">
        <v>262</v>
      </c>
      <c r="C333" t="str">
        <f>_xlfn.TEXTBEFORE(_xlfn.TEXTAFTER(Tabla1[[#This Row],[ENLACE]],"/",1),"/")</f>
        <v>italy</v>
      </c>
      <c r="D333" t="str">
        <f>Tabla1[[#This Row],[PAIS]]</f>
        <v>italy</v>
      </c>
      <c r="E333" s="8" t="str">
        <f ca="1">IF(VLOOKUP(Tabla1[[#This Row],[DIVISION]],$H$2:$I$44,2)="X","SI","NO")</f>
        <v>SI</v>
      </c>
    </row>
    <row r="334" spans="1:5" x14ac:dyDescent="0.3">
      <c r="A334" t="str">
        <f>MID(Tabla1[[#This Row],[ENLACE]],FIND("~",SUBSTITUTE(Tabla1[[#This Row],[ENLACE]],"/","~",2))+1,LEN(Tabla1[[#This Row],[ENLACE]]))</f>
        <v>us-lecce</v>
      </c>
      <c r="B334" s="2" t="s">
        <v>263</v>
      </c>
      <c r="C334" t="str">
        <f>_xlfn.TEXTBEFORE(_xlfn.TEXTAFTER(Tabla1[[#This Row],[ENLACE]],"/",1),"/")</f>
        <v>italy</v>
      </c>
      <c r="D334" t="str">
        <f>Tabla1[[#This Row],[PAIS]]</f>
        <v>italy</v>
      </c>
      <c r="E334" s="8" t="str">
        <f ca="1">IF(VLOOKUP(Tabla1[[#This Row],[DIVISION]],$H$2:$I$44,2)="X","SI","NO")</f>
        <v>SI</v>
      </c>
    </row>
    <row r="335" spans="1:5" x14ac:dyDescent="0.3">
      <c r="A335" t="str">
        <f>MID(Tabla1[[#This Row],[ENLACE]],FIND("~",SUBSTITUTE(Tabla1[[#This Row],[ENLACE]],"/","~",2))+1,LEN(Tabla1[[#This Row],[ENLACE]]))</f>
        <v>ac-monza</v>
      </c>
      <c r="B335" s="5" t="s">
        <v>622</v>
      </c>
      <c r="C335" t="str">
        <f>_xlfn.TEXTBEFORE(_xlfn.TEXTAFTER(Tabla1[[#This Row],[ENLACE]],"/",1),"/")</f>
        <v>italy</v>
      </c>
      <c r="D335" t="str">
        <f>Tabla1[[#This Row],[PAIS]]</f>
        <v>italy</v>
      </c>
      <c r="E335" s="8" t="str">
        <f ca="1">IF(VLOOKUP(Tabla1[[#This Row],[DIVISION]],$H$2:$I$44,2)="X","SI","NO")</f>
        <v>SI</v>
      </c>
    </row>
    <row r="336" spans="1:5" x14ac:dyDescent="0.3">
      <c r="A336" t="str">
        <f>MID(Tabla1[[#This Row],[ENLACE]],FIND("~",SUBSTITUTE(Tabla1[[#This Row],[ENLACE]],"/","~",2))+1,LEN(Tabla1[[#This Row],[ENLACE]]))</f>
        <v>ssc-napoli</v>
      </c>
      <c r="B336" s="2" t="s">
        <v>264</v>
      </c>
      <c r="C336" t="str">
        <f>_xlfn.TEXTBEFORE(_xlfn.TEXTAFTER(Tabla1[[#This Row],[ENLACE]],"/",1),"/")</f>
        <v>italy</v>
      </c>
      <c r="D336" t="str">
        <f>Tabla1[[#This Row],[PAIS]]</f>
        <v>italy</v>
      </c>
      <c r="E336" s="8" t="str">
        <f ca="1">IF(VLOOKUP(Tabla1[[#This Row],[DIVISION]],$H$2:$I$44,2)="X","SI","NO")</f>
        <v>SI</v>
      </c>
    </row>
    <row r="337" spans="1:5" x14ac:dyDescent="0.3">
      <c r="A337" t="str">
        <f>MID(Tabla1[[#This Row],[ENLACE]],FIND("~",SUBSTITUTE(Tabla1[[#This Row],[ENLACE]],"/","~",2))+1,LEN(Tabla1[[#This Row],[ENLACE]]))</f>
        <v>parma-calcio-1913</v>
      </c>
      <c r="B337" s="5" t="s">
        <v>265</v>
      </c>
      <c r="C337" t="str">
        <f>_xlfn.TEXTBEFORE(_xlfn.TEXTAFTER(Tabla1[[#This Row],[ENLACE]],"/",1),"/")</f>
        <v>italy</v>
      </c>
      <c r="D337" t="str">
        <f>Tabla1[[#This Row],[PAIS]]</f>
        <v>italy</v>
      </c>
      <c r="E337" s="8" t="str">
        <f ca="1">IF(VLOOKUP(Tabla1[[#This Row],[DIVISION]],$H$2:$I$44,2)="X","SI","NO")</f>
        <v>SI</v>
      </c>
    </row>
    <row r="338" spans="1:5" x14ac:dyDescent="0.3">
      <c r="A338" t="str">
        <f>MID(Tabla1[[#This Row],[ENLACE]],FIND("~",SUBSTITUTE(Tabla1[[#This Row],[ENLACE]],"/","~",2))+1,LEN(Tabla1[[#This Row],[ENLACE]]))</f>
        <v>us-sassuolo-calcio</v>
      </c>
      <c r="B338" s="2" t="s">
        <v>467</v>
      </c>
      <c r="C338" t="str">
        <f>_xlfn.TEXTBEFORE(_xlfn.TEXTAFTER(Tabla1[[#This Row],[ENLACE]],"/",1),"/")</f>
        <v>italy</v>
      </c>
      <c r="D338" t="str">
        <f>Tabla1[[#This Row],[PAIS]]</f>
        <v>italy</v>
      </c>
      <c r="E338" s="8" t="str">
        <f ca="1">IF(VLOOKUP(Tabla1[[#This Row],[DIVISION]],$H$2:$I$44,2)="X","SI","NO")</f>
        <v>SI</v>
      </c>
    </row>
    <row r="339" spans="1:5" x14ac:dyDescent="0.3">
      <c r="A339" t="str">
        <f>MID(Tabla1[[#This Row],[ENLACE]],FIND("~",SUBSTITUTE(Tabla1[[#This Row],[ENLACE]],"/","~",2))+1,LEN(Tabla1[[#This Row],[ENLACE]]))</f>
        <v>torino-fc</v>
      </c>
      <c r="B339" s="5" t="s">
        <v>266</v>
      </c>
      <c r="C339" t="str">
        <f>_xlfn.TEXTBEFORE(_xlfn.TEXTAFTER(Tabla1[[#This Row],[ENLACE]],"/",1),"/")</f>
        <v>italy</v>
      </c>
      <c r="D339" t="str">
        <f>Tabla1[[#This Row],[PAIS]]</f>
        <v>italy</v>
      </c>
      <c r="E339" s="8" t="str">
        <f ca="1">IF(VLOOKUP(Tabla1[[#This Row],[DIVISION]],$H$2:$I$44,2)="X","SI","NO")</f>
        <v>SI</v>
      </c>
    </row>
    <row r="340" spans="1:5" x14ac:dyDescent="0.3">
      <c r="A340" t="str">
        <f>MID(Tabla1[[#This Row],[ENLACE]],FIND("~",SUBSTITUTE(Tabla1[[#This Row],[ENLACE]],"/","~",2))+1,LEN(Tabla1[[#This Row],[ENLACE]]))</f>
        <v>udinese-calcio</v>
      </c>
      <c r="B340" s="2" t="s">
        <v>267</v>
      </c>
      <c r="C340" t="str">
        <f>_xlfn.TEXTBEFORE(_xlfn.TEXTAFTER(Tabla1[[#This Row],[ENLACE]],"/",1),"/")</f>
        <v>italy</v>
      </c>
      <c r="D340" t="str">
        <f>Tabla1[[#This Row],[PAIS]]</f>
        <v>italy</v>
      </c>
      <c r="E340" s="8" t="str">
        <f ca="1">IF(VLOOKUP(Tabla1[[#This Row],[DIVISION]],$H$2:$I$44,2)="X","SI","NO")</f>
        <v>SI</v>
      </c>
    </row>
    <row r="341" spans="1:5" x14ac:dyDescent="0.3">
      <c r="A341" t="str">
        <f>MID(Tabla1[[#This Row],[ENLACE]],FIND("~",SUBSTITUTE(Tabla1[[#This Row],[ENLACE]],"/","~",2))+1,LEN(Tabla1[[#This Row],[ENLACE]]))</f>
        <v>venezia-fc</v>
      </c>
      <c r="B341" s="5" t="s">
        <v>623</v>
      </c>
      <c r="C341" t="str">
        <f>_xlfn.TEXTBEFORE(_xlfn.TEXTAFTER(Tabla1[[#This Row],[ENLACE]],"/",1),"/")</f>
        <v>italy</v>
      </c>
      <c r="D341" t="str">
        <f>Tabla1[[#This Row],[PAIS]]</f>
        <v>italy</v>
      </c>
      <c r="E341" s="8" t="str">
        <f ca="1">IF(VLOOKUP(Tabla1[[#This Row],[DIVISION]],$H$2:$I$44,2)="X","SI","NO")</f>
        <v>SI</v>
      </c>
    </row>
    <row r="342" spans="1:5" x14ac:dyDescent="0.3">
      <c r="A342" t="str">
        <f>MID(Tabla1[[#This Row],[ENLACE]],FIND("~",SUBSTITUTE(Tabla1[[#This Row],[ENLACE]],"/","~",2))+1,LEN(Tabla1[[#This Row],[ENLACE]]))</f>
        <v>atletico-san-luis</v>
      </c>
      <c r="B342" s="2" t="s">
        <v>268</v>
      </c>
      <c r="C342" t="str">
        <f>_xlfn.TEXTBEFORE(_xlfn.TEXTAFTER(Tabla1[[#This Row],[ENLACE]],"/",1),"/")</f>
        <v>mexico</v>
      </c>
      <c r="D342" t="str">
        <f>Tabla1[[#This Row],[PAIS]]</f>
        <v>mexico</v>
      </c>
      <c r="E342" s="8" t="str">
        <f ca="1">IF(VLOOKUP(Tabla1[[#This Row],[DIVISION]],$H$2:$I$44,2)="X","SI","NO")</f>
        <v>SI</v>
      </c>
    </row>
    <row r="343" spans="1:5" x14ac:dyDescent="0.3">
      <c r="A343" t="str">
        <f>MID(Tabla1[[#This Row],[ENLACE]],FIND("~",SUBSTITUTE(Tabla1[[#This Row],[ENLACE]],"/","~",2))+1,LEN(Tabla1[[#This Row],[ENLACE]]))</f>
        <v>atlante-fc</v>
      </c>
      <c r="B343" s="5" t="s">
        <v>736</v>
      </c>
      <c r="C343" t="str">
        <f>_xlfn.TEXTBEFORE(_xlfn.TEXTAFTER(Tabla1[[#This Row],[ENLACE]],"/",1),"/")</f>
        <v>mexico</v>
      </c>
      <c r="D343" t="str">
        <f>Tabla1[[#This Row],[PAIS]]</f>
        <v>mexico</v>
      </c>
      <c r="E343" s="8" t="str">
        <f ca="1">IF(VLOOKUP(Tabla1[[#This Row],[DIVISION]],$H$2:$I$44,2)="X","SI","NO")</f>
        <v>SI</v>
      </c>
    </row>
    <row r="344" spans="1:5" x14ac:dyDescent="0.3">
      <c r="A344" t="str">
        <f>MID(Tabla1[[#This Row],[ENLACE]],FIND("~",SUBSTITUTE(Tabla1[[#This Row],[ENLACE]],"/","~",2))+1,LEN(Tabla1[[#This Row],[ENLACE]]))</f>
        <v>atlas-fc</v>
      </c>
      <c r="B344" s="2" t="s">
        <v>269</v>
      </c>
      <c r="C344" t="str">
        <f>_xlfn.TEXTBEFORE(_xlfn.TEXTAFTER(Tabla1[[#This Row],[ENLACE]],"/",1),"/")</f>
        <v>mexico</v>
      </c>
      <c r="D344" t="str">
        <f>Tabla1[[#This Row],[PAIS]]</f>
        <v>mexico</v>
      </c>
      <c r="E344" s="8" t="str">
        <f ca="1">IF(VLOOKUP(Tabla1[[#This Row],[DIVISION]],$H$2:$I$44,2)="X","SI","NO")</f>
        <v>SI</v>
      </c>
    </row>
    <row r="345" spans="1:5" x14ac:dyDescent="0.3">
      <c r="A345" t="str">
        <f>MID(Tabla1[[#This Row],[ENLACE]],FIND("~",SUBSTITUTE(Tabla1[[#This Row],[ENLACE]],"/","~",2))+1,LEN(Tabla1[[#This Row],[ENLACE]]))</f>
        <v>club-america</v>
      </c>
      <c r="B345" s="5" t="s">
        <v>270</v>
      </c>
      <c r="C345" t="str">
        <f>_xlfn.TEXTBEFORE(_xlfn.TEXTAFTER(Tabla1[[#This Row],[ENLACE]],"/",1),"/")</f>
        <v>mexico</v>
      </c>
      <c r="D345" t="str">
        <f>Tabla1[[#This Row],[PAIS]]</f>
        <v>mexico</v>
      </c>
      <c r="E345" s="8" t="str">
        <f ca="1">IF(VLOOKUP(Tabla1[[#This Row],[DIVISION]],$H$2:$I$44,2)="X","SI","NO")</f>
        <v>SI</v>
      </c>
    </row>
    <row r="346" spans="1:5" x14ac:dyDescent="0.3">
      <c r="A346" t="str">
        <f>MID(Tabla1[[#This Row],[ENLACE]],FIND("~",SUBSTITUTE(Tabla1[[#This Row],[ENLACE]],"/","~",2))+1,LEN(Tabla1[[#This Row],[ENLACE]]))</f>
        <v>cruz-azul</v>
      </c>
      <c r="B346" s="2" t="s">
        <v>271</v>
      </c>
      <c r="C346" t="str">
        <f>_xlfn.TEXTBEFORE(_xlfn.TEXTAFTER(Tabla1[[#This Row],[ENLACE]],"/",1),"/")</f>
        <v>mexico</v>
      </c>
      <c r="D346" t="str">
        <f>Tabla1[[#This Row],[PAIS]]</f>
        <v>mexico</v>
      </c>
      <c r="E346" s="8" t="str">
        <f ca="1">IF(VLOOKUP(Tabla1[[#This Row],[DIVISION]],$H$2:$I$44,2)="X","SI","NO")</f>
        <v>SI</v>
      </c>
    </row>
    <row r="347" spans="1:5" x14ac:dyDescent="0.3">
      <c r="A347" t="str">
        <f>MID(Tabla1[[#This Row],[ENLACE]],FIND("~",SUBSTITUTE(Tabla1[[#This Row],[ENLACE]],"/","~",2))+1,LEN(Tabla1[[#This Row],[ENLACE]]))</f>
        <v>cd-guadalajara</v>
      </c>
      <c r="B347" s="5" t="s">
        <v>272</v>
      </c>
      <c r="C347" t="str">
        <f>_xlfn.TEXTBEFORE(_xlfn.TEXTAFTER(Tabla1[[#This Row],[ENLACE]],"/",1),"/")</f>
        <v>mexico</v>
      </c>
      <c r="D347" t="str">
        <f>Tabla1[[#This Row],[PAIS]]</f>
        <v>mexico</v>
      </c>
      <c r="E347" s="8" t="str">
        <f ca="1">IF(VLOOKUP(Tabla1[[#This Row],[DIVISION]],$H$2:$I$44,2)="X","SI","NO")</f>
        <v>SI</v>
      </c>
    </row>
    <row r="348" spans="1:5" x14ac:dyDescent="0.3">
      <c r="A348" t="str">
        <f>MID(Tabla1[[#This Row],[ENLACE]],FIND("~",SUBSTITUTE(Tabla1[[#This Row],[ENLACE]],"/","~",2))+1,LEN(Tabla1[[#This Row],[ENLACE]]))</f>
        <v>fc-juarez</v>
      </c>
      <c r="B348" s="2" t="s">
        <v>273</v>
      </c>
      <c r="C348" t="str">
        <f>_xlfn.TEXTBEFORE(_xlfn.TEXTAFTER(Tabla1[[#This Row],[ENLACE]],"/",1),"/")</f>
        <v>mexico</v>
      </c>
      <c r="D348" t="str">
        <f>Tabla1[[#This Row],[PAIS]]</f>
        <v>mexico</v>
      </c>
      <c r="E348" s="8" t="str">
        <f ca="1">IF(VLOOKUP(Tabla1[[#This Row],[DIVISION]],$H$2:$I$44,2)="X","SI","NO")</f>
        <v>SI</v>
      </c>
    </row>
    <row r="349" spans="1:5" x14ac:dyDescent="0.3">
      <c r="A349" t="str">
        <f>MID(Tabla1[[#This Row],[ENLACE]],FIND("~",SUBSTITUTE(Tabla1[[#This Row],[ENLACE]],"/","~",2))+1,LEN(Tabla1[[#This Row],[ENLACE]]))</f>
        <v>club-leon</v>
      </c>
      <c r="B349" s="5" t="s">
        <v>274</v>
      </c>
      <c r="C349" t="str">
        <f>_xlfn.TEXTBEFORE(_xlfn.TEXTAFTER(Tabla1[[#This Row],[ENLACE]],"/",1),"/")</f>
        <v>mexico</v>
      </c>
      <c r="D349" t="str">
        <f>Tabla1[[#This Row],[PAIS]]</f>
        <v>mexico</v>
      </c>
      <c r="E349" s="8" t="str">
        <f ca="1">IF(VLOOKUP(Tabla1[[#This Row],[DIVISION]],$H$2:$I$44,2)="X","SI","NO")</f>
        <v>SI</v>
      </c>
    </row>
    <row r="350" spans="1:5" x14ac:dyDescent="0.3">
      <c r="A350" t="str">
        <f>MID(Tabla1[[#This Row],[ENLACE]],FIND("~",SUBSTITUTE(Tabla1[[#This Row],[ENLACE]],"/","~",2))+1,LEN(Tabla1[[#This Row],[ENLACE]]))</f>
        <v>cf-monterrey</v>
      </c>
      <c r="B350" s="2" t="s">
        <v>275</v>
      </c>
      <c r="C350" t="str">
        <f>_xlfn.TEXTBEFORE(_xlfn.TEXTAFTER(Tabla1[[#This Row],[ENLACE]],"/",1),"/")</f>
        <v>mexico</v>
      </c>
      <c r="D350" t="str">
        <f>Tabla1[[#This Row],[PAIS]]</f>
        <v>mexico</v>
      </c>
      <c r="E350" s="8" t="str">
        <f ca="1">IF(VLOOKUP(Tabla1[[#This Row],[DIVISION]],$H$2:$I$44,2)="X","SI","NO")</f>
        <v>SI</v>
      </c>
    </row>
    <row r="351" spans="1:5" x14ac:dyDescent="0.3">
      <c r="A351" t="str">
        <f>MID(Tabla1[[#This Row],[ENLACE]],FIND("~",SUBSTITUTE(Tabla1[[#This Row],[ENLACE]],"/","~",2))+1,LEN(Tabla1[[#This Row],[ENLACE]]))</f>
        <v>club-necaxa</v>
      </c>
      <c r="B351" s="5" t="s">
        <v>276</v>
      </c>
      <c r="C351" t="str">
        <f>_xlfn.TEXTBEFORE(_xlfn.TEXTAFTER(Tabla1[[#This Row],[ENLACE]],"/",1),"/")</f>
        <v>mexico</v>
      </c>
      <c r="D351" t="str">
        <f>Tabla1[[#This Row],[PAIS]]</f>
        <v>mexico</v>
      </c>
      <c r="E351" s="8" t="str">
        <f ca="1">IF(VLOOKUP(Tabla1[[#This Row],[DIVISION]],$H$2:$I$44,2)="X","SI","NO")</f>
        <v>SI</v>
      </c>
    </row>
    <row r="352" spans="1:5" x14ac:dyDescent="0.3">
      <c r="A352" t="str">
        <f>MID(Tabla1[[#This Row],[ENLACE]],FIND("~",SUBSTITUTE(Tabla1[[#This Row],[ENLACE]],"/","~",2))+1,LEN(Tabla1[[#This Row],[ENLACE]]))</f>
        <v>cf-pachuca</v>
      </c>
      <c r="B352" s="2" t="s">
        <v>277</v>
      </c>
      <c r="C352" t="str">
        <f>_xlfn.TEXTBEFORE(_xlfn.TEXTAFTER(Tabla1[[#This Row],[ENLACE]],"/",1),"/")</f>
        <v>mexico</v>
      </c>
      <c r="D352" t="str">
        <f>Tabla1[[#This Row],[PAIS]]</f>
        <v>mexico</v>
      </c>
      <c r="E352" s="8" t="str">
        <f ca="1">IF(VLOOKUP(Tabla1[[#This Row],[DIVISION]],$H$2:$I$44,2)="X","SI","NO")</f>
        <v>SI</v>
      </c>
    </row>
    <row r="353" spans="1:5" x14ac:dyDescent="0.3">
      <c r="A353" t="str">
        <f>MID(Tabla1[[#This Row],[ENLACE]],FIND("~",SUBSTITUTE(Tabla1[[#This Row],[ENLACE]],"/","~",2))+1,LEN(Tabla1[[#This Row],[ENLACE]]))</f>
        <v>club-puebla</v>
      </c>
      <c r="B353" s="5" t="s">
        <v>278</v>
      </c>
      <c r="C353" t="str">
        <f>_xlfn.TEXTBEFORE(_xlfn.TEXTAFTER(Tabla1[[#This Row],[ENLACE]],"/",1),"/")</f>
        <v>mexico</v>
      </c>
      <c r="D353" t="str">
        <f>Tabla1[[#This Row],[PAIS]]</f>
        <v>mexico</v>
      </c>
      <c r="E353" s="8" t="str">
        <f ca="1">IF(VLOOKUP(Tabla1[[#This Row],[DIVISION]],$H$2:$I$44,2)="X","SI","NO")</f>
        <v>SI</v>
      </c>
    </row>
    <row r="354" spans="1:5" x14ac:dyDescent="0.3">
      <c r="A354" t="str">
        <f>MID(Tabla1[[#This Row],[ENLACE]],FIND("~",SUBSTITUTE(Tabla1[[#This Row],[ENLACE]],"/","~",2))+1,LEN(Tabla1[[#This Row],[ENLACE]]))</f>
        <v>queretaro-fc</v>
      </c>
      <c r="B354" s="2" t="s">
        <v>279</v>
      </c>
      <c r="C354" t="str">
        <f>_xlfn.TEXTBEFORE(_xlfn.TEXTAFTER(Tabla1[[#This Row],[ENLACE]],"/",1),"/")</f>
        <v>mexico</v>
      </c>
      <c r="D354" t="str">
        <f>Tabla1[[#This Row],[PAIS]]</f>
        <v>mexico</v>
      </c>
      <c r="E354" s="8" t="str">
        <f ca="1">IF(VLOOKUP(Tabla1[[#This Row],[DIVISION]],$H$2:$I$44,2)="X","SI","NO")</f>
        <v>SI</v>
      </c>
    </row>
    <row r="355" spans="1:5" x14ac:dyDescent="0.3">
      <c r="A355" t="str">
        <f>MID(Tabla1[[#This Row],[ENLACE]],FIND("~",SUBSTITUTE(Tabla1[[#This Row],[ENLACE]],"/","~",2))+1,LEN(Tabla1[[#This Row],[ENLACE]]))</f>
        <v>santos-laguna</v>
      </c>
      <c r="B355" s="5" t="s">
        <v>280</v>
      </c>
      <c r="C355" t="str">
        <f>_xlfn.TEXTBEFORE(_xlfn.TEXTAFTER(Tabla1[[#This Row],[ENLACE]],"/",1),"/")</f>
        <v>mexico</v>
      </c>
      <c r="D355" t="str">
        <f>Tabla1[[#This Row],[PAIS]]</f>
        <v>mexico</v>
      </c>
      <c r="E355" s="8" t="str">
        <f ca="1">IF(VLOOKUP(Tabla1[[#This Row],[DIVISION]],$H$2:$I$44,2)="X","SI","NO")</f>
        <v>SI</v>
      </c>
    </row>
    <row r="356" spans="1:5" x14ac:dyDescent="0.3">
      <c r="A356" t="str">
        <f>MID(Tabla1[[#This Row],[ENLACE]],FIND("~",SUBSTITUTE(Tabla1[[#This Row],[ENLACE]],"/","~",2))+1,LEN(Tabla1[[#This Row],[ENLACE]]))</f>
        <v>tigres-uanl</v>
      </c>
      <c r="B356" s="2" t="s">
        <v>281</v>
      </c>
      <c r="C356" t="str">
        <f>_xlfn.TEXTBEFORE(_xlfn.TEXTAFTER(Tabla1[[#This Row],[ENLACE]],"/",1),"/")</f>
        <v>mexico</v>
      </c>
      <c r="D356" t="str">
        <f>Tabla1[[#This Row],[PAIS]]</f>
        <v>mexico</v>
      </c>
      <c r="E356" s="8" t="str">
        <f ca="1">IF(VLOOKUP(Tabla1[[#This Row],[DIVISION]],$H$2:$I$44,2)="X","SI","NO")</f>
        <v>SI</v>
      </c>
    </row>
    <row r="357" spans="1:5" x14ac:dyDescent="0.3">
      <c r="A357" t="str">
        <f>MID(Tabla1[[#This Row],[ENLACE]],FIND("~",SUBSTITUTE(Tabla1[[#This Row],[ENLACE]],"/","~",2))+1,LEN(Tabla1[[#This Row],[ENLACE]]))</f>
        <v>club-tijuana</v>
      </c>
      <c r="B357" s="5" t="s">
        <v>282</v>
      </c>
      <c r="C357" t="str">
        <f>_xlfn.TEXTBEFORE(_xlfn.TEXTAFTER(Tabla1[[#This Row],[ENLACE]],"/",1),"/")</f>
        <v>mexico</v>
      </c>
      <c r="D357" t="str">
        <f>Tabla1[[#This Row],[PAIS]]</f>
        <v>mexico</v>
      </c>
      <c r="E357" s="8" t="str">
        <f ca="1">IF(VLOOKUP(Tabla1[[#This Row],[DIVISION]],$H$2:$I$44,2)="X","SI","NO")</f>
        <v>SI</v>
      </c>
    </row>
    <row r="358" spans="1:5" x14ac:dyDescent="0.3">
      <c r="A358" t="str">
        <f>MID(Tabla1[[#This Row],[ENLACE]],FIND("~",SUBSTITUTE(Tabla1[[#This Row],[ENLACE]],"/","~",2))+1,LEN(Tabla1[[#This Row],[ENLACE]]))</f>
        <v>deportivo-toluca-fc</v>
      </c>
      <c r="B358" s="2" t="s">
        <v>283</v>
      </c>
      <c r="C358" t="str">
        <f>_xlfn.TEXTBEFORE(_xlfn.TEXTAFTER(Tabla1[[#This Row],[ENLACE]],"/",1),"/")</f>
        <v>mexico</v>
      </c>
      <c r="D358" t="str">
        <f>Tabla1[[#This Row],[PAIS]]</f>
        <v>mexico</v>
      </c>
      <c r="E358" s="8" t="str">
        <f ca="1">IF(VLOOKUP(Tabla1[[#This Row],[DIVISION]],$H$2:$I$44,2)="X","SI","NO")</f>
        <v>SI</v>
      </c>
    </row>
    <row r="359" spans="1:5" x14ac:dyDescent="0.3">
      <c r="A359" t="str">
        <f>MID(Tabla1[[#This Row],[ENLACE]],FIND("~",SUBSTITUTE(Tabla1[[#This Row],[ENLACE]],"/","~",2))+1,LEN(Tabla1[[#This Row],[ENLACE]]))</f>
        <v>unam</v>
      </c>
      <c r="B359" s="5" t="s">
        <v>284</v>
      </c>
      <c r="C359" t="str">
        <f>_xlfn.TEXTBEFORE(_xlfn.TEXTAFTER(Tabla1[[#This Row],[ENLACE]],"/",1),"/")</f>
        <v>mexico</v>
      </c>
      <c r="D359" t="str">
        <f>Tabla1[[#This Row],[PAIS]]</f>
        <v>mexico</v>
      </c>
      <c r="E359" s="8" t="str">
        <f ca="1">IF(VLOOKUP(Tabla1[[#This Row],[DIVISION]],$H$2:$I$44,2)="X","SI","NO")</f>
        <v>SI</v>
      </c>
    </row>
    <row r="360" spans="1:5" x14ac:dyDescent="0.3">
      <c r="A360" t="str">
        <f>MID(Tabla1[[#This Row],[ENLACE]],FIND("~",SUBSTITUTE(Tabla1[[#This Row],[ENLACE]],"/","~",2))+1,LEN(Tabla1[[#This Row],[ENLACE]]))</f>
        <v>afc-ajax</v>
      </c>
      <c r="B360" s="2" t="s">
        <v>285</v>
      </c>
      <c r="C360" t="str">
        <f>_xlfn.TEXTBEFORE(_xlfn.TEXTAFTER(Tabla1[[#This Row],[ENLACE]],"/",1),"/")</f>
        <v>netherlands</v>
      </c>
      <c r="D360" t="str">
        <f>Tabla1[[#This Row],[PAIS]]</f>
        <v>netherlands</v>
      </c>
      <c r="E360" s="8" t="str">
        <f ca="1">IF(VLOOKUP(Tabla1[[#This Row],[DIVISION]],$H$2:$I$44,2)="X","SI","NO")</f>
        <v>SI</v>
      </c>
    </row>
    <row r="361" spans="1:5" x14ac:dyDescent="0.3">
      <c r="A361" t="str">
        <f>MID(Tabla1[[#This Row],[ENLACE]],FIND("~",SUBSTITUTE(Tabla1[[#This Row],[ENLACE]],"/","~",2))+1,LEN(Tabla1[[#This Row],[ENLACE]]))</f>
        <v>az-alkmaar</v>
      </c>
      <c r="B361" s="5" t="s">
        <v>286</v>
      </c>
      <c r="C361" t="str">
        <f>_xlfn.TEXTBEFORE(_xlfn.TEXTAFTER(Tabla1[[#This Row],[ENLACE]],"/",1),"/")</f>
        <v>netherlands</v>
      </c>
      <c r="D361" t="str">
        <f>Tabla1[[#This Row],[PAIS]]</f>
        <v>netherlands</v>
      </c>
      <c r="E361" s="8" t="str">
        <f ca="1">IF(VLOOKUP(Tabla1[[#This Row],[DIVISION]],$H$2:$I$44,2)="X","SI","NO")</f>
        <v>SI</v>
      </c>
    </row>
    <row r="362" spans="1:5" x14ac:dyDescent="0.3">
      <c r="A362" t="str">
        <f>MID(Tabla1[[#This Row],[ENLACE]],FIND("~",SUBSTITUTE(Tabla1[[#This Row],[ENLACE]],"/","~",2))+1,LEN(Tabla1[[#This Row],[ENLACE]]))</f>
        <v>sc-cambuur</v>
      </c>
      <c r="B362" s="2" t="s">
        <v>592</v>
      </c>
      <c r="C362" t="str">
        <f>_xlfn.TEXTBEFORE(_xlfn.TEXTAFTER(Tabla1[[#This Row],[ENLACE]],"/",1),"/")</f>
        <v>netherlands</v>
      </c>
      <c r="D362" t="str">
        <f>Tabla1[[#This Row],[PAIS]]</f>
        <v>netherlands</v>
      </c>
      <c r="E362" s="8" t="str">
        <f ca="1">IF(VLOOKUP(Tabla1[[#This Row],[DIVISION]],$H$2:$I$44,2)="X","SI","NO")</f>
        <v>SI</v>
      </c>
    </row>
    <row r="363" spans="1:5" x14ac:dyDescent="0.3">
      <c r="A363" t="str">
        <f>MID(Tabla1[[#This Row],[ENLACE]],FIND("~",SUBSTITUTE(Tabla1[[#This Row],[ENLACE]],"/","~",2))+1,LEN(Tabla1[[#This Row],[ENLACE]]))</f>
        <v>ado-den-haag</v>
      </c>
      <c r="B363" s="5" t="s">
        <v>593</v>
      </c>
      <c r="C363" t="str">
        <f>_xlfn.TEXTBEFORE(_xlfn.TEXTAFTER(Tabla1[[#This Row],[ENLACE]],"/",1),"/")</f>
        <v>netherlands</v>
      </c>
      <c r="D363" t="str">
        <f>Tabla1[[#This Row],[PAIS]]</f>
        <v>netherlands</v>
      </c>
      <c r="E363" s="8" t="str">
        <f ca="1">IF(VLOOKUP(Tabla1[[#This Row],[DIVISION]],$H$2:$I$44,2)="X","SI","NO")</f>
        <v>SI</v>
      </c>
    </row>
    <row r="364" spans="1:5" x14ac:dyDescent="0.3">
      <c r="A364" t="str">
        <f>MID(Tabla1[[#This Row],[ENLACE]],FIND("~",SUBSTITUTE(Tabla1[[#This Row],[ENLACE]],"/","~",2))+1,LEN(Tabla1[[#This Row],[ENLACE]]))</f>
        <v>sbv-excelsior</v>
      </c>
      <c r="B364" s="2" t="s">
        <v>287</v>
      </c>
      <c r="C364" t="str">
        <f>_xlfn.TEXTBEFORE(_xlfn.TEXTAFTER(Tabla1[[#This Row],[ENLACE]],"/",1),"/")</f>
        <v>netherlands</v>
      </c>
      <c r="D364" t="str">
        <f>Tabla1[[#This Row],[PAIS]]</f>
        <v>netherlands</v>
      </c>
      <c r="E364" s="8" t="str">
        <f ca="1">IF(VLOOKUP(Tabla1[[#This Row],[DIVISION]],$H$2:$I$44,2)="X","SI","NO")</f>
        <v>SI</v>
      </c>
    </row>
    <row r="365" spans="1:5" x14ac:dyDescent="0.3">
      <c r="A365" t="str">
        <f>MID(Tabla1[[#This Row],[ENLACE]],FIND("~",SUBSTITUTE(Tabla1[[#This Row],[ENLACE]],"/","~",2))+1,LEN(Tabla1[[#This Row],[ENLACE]]))</f>
        <v>feyenoord-rotterdam</v>
      </c>
      <c r="B365" s="5" t="s">
        <v>288</v>
      </c>
      <c r="C365" t="str">
        <f>_xlfn.TEXTBEFORE(_xlfn.TEXTAFTER(Tabla1[[#This Row],[ENLACE]],"/",1),"/")</f>
        <v>netherlands</v>
      </c>
      <c r="D365" t="str">
        <f>Tabla1[[#This Row],[PAIS]]</f>
        <v>netherlands</v>
      </c>
      <c r="E365" s="8" t="str">
        <f ca="1">IF(VLOOKUP(Tabla1[[#This Row],[DIVISION]],$H$2:$I$44,2)="X","SI","NO")</f>
        <v>SI</v>
      </c>
    </row>
    <row r="366" spans="1:5" x14ac:dyDescent="0.3">
      <c r="A366" t="str">
        <f>MID(Tabla1[[#This Row],[ENLACE]],FIND("~",SUBSTITUTE(Tabla1[[#This Row],[ENLACE]],"/","~",2))+1,LEN(Tabla1[[#This Row],[ENLACE]]))</f>
        <v>go-ahead-eagles</v>
      </c>
      <c r="B366" s="2" t="s">
        <v>289</v>
      </c>
      <c r="C366" t="str">
        <f>_xlfn.TEXTBEFORE(_xlfn.TEXTAFTER(Tabla1[[#This Row],[ENLACE]],"/",1),"/")</f>
        <v>netherlands</v>
      </c>
      <c r="D366" t="str">
        <f>Tabla1[[#This Row],[PAIS]]</f>
        <v>netherlands</v>
      </c>
      <c r="E366" s="8" t="str">
        <f ca="1">IF(VLOOKUP(Tabla1[[#This Row],[DIVISION]],$H$2:$I$44,2)="X","SI","NO")</f>
        <v>SI</v>
      </c>
    </row>
    <row r="367" spans="1:5" x14ac:dyDescent="0.3">
      <c r="A367" t="str">
        <f>MID(Tabla1[[#This Row],[ENLACE]],FIND("~",SUBSTITUTE(Tabla1[[#This Row],[ENLACE]],"/","~",2))+1,LEN(Tabla1[[#This Row],[ENLACE]]))</f>
        <v>fc-groningen</v>
      </c>
      <c r="B367" s="5" t="s">
        <v>290</v>
      </c>
      <c r="C367" t="str">
        <f>_xlfn.TEXTBEFORE(_xlfn.TEXTAFTER(Tabla1[[#This Row],[ENLACE]],"/",1),"/")</f>
        <v>netherlands</v>
      </c>
      <c r="D367" t="str">
        <f>Tabla1[[#This Row],[PAIS]]</f>
        <v>netherlands</v>
      </c>
      <c r="E367" s="8" t="str">
        <f ca="1">IF(VLOOKUP(Tabla1[[#This Row],[DIVISION]],$H$2:$I$44,2)="X","SI","NO")</f>
        <v>SI</v>
      </c>
    </row>
    <row r="368" spans="1:5" x14ac:dyDescent="0.3">
      <c r="A368" t="str">
        <f>MID(Tabla1[[#This Row],[ENLACE]],FIND("~",SUBSTITUTE(Tabla1[[#This Row],[ENLACE]],"/","~",2))+1,LEN(Tabla1[[#This Row],[ENLACE]]))</f>
        <v>sc-heerenveen</v>
      </c>
      <c r="B368" s="2" t="s">
        <v>291</v>
      </c>
      <c r="C368" t="str">
        <f>_xlfn.TEXTBEFORE(_xlfn.TEXTAFTER(Tabla1[[#This Row],[ENLACE]],"/",1),"/")</f>
        <v>netherlands</v>
      </c>
      <c r="D368" t="str">
        <f>Tabla1[[#This Row],[PAIS]]</f>
        <v>netherlands</v>
      </c>
      <c r="E368" s="8" t="str">
        <f ca="1">IF(VLOOKUP(Tabla1[[#This Row],[DIVISION]],$H$2:$I$44,2)="X","SI","NO")</f>
        <v>SI</v>
      </c>
    </row>
    <row r="369" spans="1:5" x14ac:dyDescent="0.3">
      <c r="A369" t="str">
        <f>MID(Tabla1[[#This Row],[ENLACE]],FIND("~",SUBSTITUTE(Tabla1[[#This Row],[ENLACE]],"/","~",2))+1,LEN(Tabla1[[#This Row],[ENLACE]]))</f>
        <v>nec-nijmegen</v>
      </c>
      <c r="B369" s="5" t="s">
        <v>292</v>
      </c>
      <c r="C369" t="str">
        <f>_xlfn.TEXTBEFORE(_xlfn.TEXTAFTER(Tabla1[[#This Row],[ENLACE]],"/",1),"/")</f>
        <v>netherlands</v>
      </c>
      <c r="D369" t="str">
        <f>Tabla1[[#This Row],[PAIS]]</f>
        <v>netherlands</v>
      </c>
      <c r="E369" s="8" t="str">
        <f ca="1">IF(VLOOKUP(Tabla1[[#This Row],[DIVISION]],$H$2:$I$44,2)="X","SI","NO")</f>
        <v>SI</v>
      </c>
    </row>
    <row r="370" spans="1:5" x14ac:dyDescent="0.3">
      <c r="A370" t="str">
        <f>MID(Tabla1[[#This Row],[ENLACE]],FIND("~",SUBSTITUTE(Tabla1[[#This Row],[ENLACE]],"/","~",2))+1,LEN(Tabla1[[#This Row],[ENLACE]]))</f>
        <v>psv-eindhoven</v>
      </c>
      <c r="B370" s="2" t="s">
        <v>293</v>
      </c>
      <c r="C370" t="str">
        <f>_xlfn.TEXTBEFORE(_xlfn.TEXTAFTER(Tabla1[[#This Row],[ENLACE]],"/",1),"/")</f>
        <v>netherlands</v>
      </c>
      <c r="D370" t="str">
        <f>Tabla1[[#This Row],[PAIS]]</f>
        <v>netherlands</v>
      </c>
      <c r="E370" s="8" t="str">
        <f ca="1">IF(VLOOKUP(Tabla1[[#This Row],[DIVISION]],$H$2:$I$44,2)="X","SI","NO")</f>
        <v>SI</v>
      </c>
    </row>
    <row r="371" spans="1:5" x14ac:dyDescent="0.3">
      <c r="A371" t="str">
        <f>MID(Tabla1[[#This Row],[ENLACE]],FIND("~",SUBSTITUTE(Tabla1[[#This Row],[ENLACE]],"/","~",2))+1,LEN(Tabla1[[#This Row],[ENLACE]]))</f>
        <v>fortuna-sittard</v>
      </c>
      <c r="B371" s="5" t="s">
        <v>294</v>
      </c>
      <c r="C371" t="str">
        <f>_xlfn.TEXTBEFORE(_xlfn.TEXTAFTER(Tabla1[[#This Row],[ENLACE]],"/",1),"/")</f>
        <v>netherlands</v>
      </c>
      <c r="D371" t="str">
        <f>Tabla1[[#This Row],[PAIS]]</f>
        <v>netherlands</v>
      </c>
      <c r="E371" s="8" t="str">
        <f ca="1">IF(VLOOKUP(Tabla1[[#This Row],[DIVISION]],$H$2:$I$44,2)="X","SI","NO")</f>
        <v>SI</v>
      </c>
    </row>
    <row r="372" spans="1:5" x14ac:dyDescent="0.3">
      <c r="A372" t="str">
        <f>MID(Tabla1[[#This Row],[ENLACE]],FIND("~",SUBSTITUTE(Tabla1[[#This Row],[ENLACE]],"/","~",2))+1,LEN(Tabla1[[#This Row],[ENLACE]]))</f>
        <v>sparta-rotterdam</v>
      </c>
      <c r="B372" s="2" t="s">
        <v>295</v>
      </c>
      <c r="C372" t="str">
        <f>_xlfn.TEXTBEFORE(_xlfn.TEXTAFTER(Tabla1[[#This Row],[ENLACE]],"/",1),"/")</f>
        <v>netherlands</v>
      </c>
      <c r="D372" t="str">
        <f>Tabla1[[#This Row],[PAIS]]</f>
        <v>netherlands</v>
      </c>
      <c r="E372" s="8" t="str">
        <f ca="1">IF(VLOOKUP(Tabla1[[#This Row],[DIVISION]],$H$2:$I$44,2)="X","SI","NO")</f>
        <v>SI</v>
      </c>
    </row>
    <row r="373" spans="1:5" x14ac:dyDescent="0.3">
      <c r="A373" t="str">
        <f>MID(Tabla1[[#This Row],[ENLACE]],FIND("~",SUBSTITUTE(Tabla1[[#This Row],[ENLACE]],"/","~",2))+1,LEN(Tabla1[[#This Row],[ENLACE]]))</f>
        <v>sc-telstar</v>
      </c>
      <c r="B373" s="5" t="s">
        <v>296</v>
      </c>
      <c r="C373" t="str">
        <f>_xlfn.TEXTBEFORE(_xlfn.TEXTAFTER(Tabla1[[#This Row],[ENLACE]],"/",1),"/")</f>
        <v>netherlands</v>
      </c>
      <c r="D373" t="str">
        <f>Tabla1[[#This Row],[PAIS]]</f>
        <v>netherlands</v>
      </c>
      <c r="E373" s="8" t="str">
        <f ca="1">IF(VLOOKUP(Tabla1[[#This Row],[DIVISION]],$H$2:$I$44,2)="X","SI","NO")</f>
        <v>SI</v>
      </c>
    </row>
    <row r="374" spans="1:5" x14ac:dyDescent="0.3">
      <c r="A374" t="str">
        <f>MID(Tabla1[[#This Row],[ENLACE]],FIND("~",SUBSTITUTE(Tabla1[[#This Row],[ENLACE]],"/","~",2))+1,LEN(Tabla1[[#This Row],[ENLACE]]))</f>
        <v>fc-twente</v>
      </c>
      <c r="B374" s="2" t="s">
        <v>297</v>
      </c>
      <c r="C374" t="str">
        <f>_xlfn.TEXTBEFORE(_xlfn.TEXTAFTER(Tabla1[[#This Row],[ENLACE]],"/",1),"/")</f>
        <v>netherlands</v>
      </c>
      <c r="D374" t="str">
        <f>Tabla1[[#This Row],[PAIS]]</f>
        <v>netherlands</v>
      </c>
      <c r="E374" s="8" t="str">
        <f ca="1">IF(VLOOKUP(Tabla1[[#This Row],[DIVISION]],$H$2:$I$44,2)="X","SI","NO")</f>
        <v>SI</v>
      </c>
    </row>
    <row r="375" spans="1:5" x14ac:dyDescent="0.3">
      <c r="A375" t="str">
        <f>MID(Tabla1[[#This Row],[ENLACE]],FIND("~",SUBSTITUTE(Tabla1[[#This Row],[ENLACE]],"/","~",2))+1,LEN(Tabla1[[#This Row],[ENLACE]]))</f>
        <v>fc-utrecht</v>
      </c>
      <c r="B375" s="5" t="s">
        <v>298</v>
      </c>
      <c r="C375" t="str">
        <f>_xlfn.TEXTBEFORE(_xlfn.TEXTAFTER(Tabla1[[#This Row],[ENLACE]],"/",1),"/")</f>
        <v>netherlands</v>
      </c>
      <c r="D375" t="str">
        <f>Tabla1[[#This Row],[PAIS]]</f>
        <v>netherlands</v>
      </c>
      <c r="E375" s="8" t="str">
        <f ca="1">IF(VLOOKUP(Tabla1[[#This Row],[DIVISION]],$H$2:$I$44,2)="X","SI","NO")</f>
        <v>SI</v>
      </c>
    </row>
    <row r="376" spans="1:5" x14ac:dyDescent="0.3">
      <c r="A376" t="str">
        <f>MID(Tabla1[[#This Row],[ENLACE]],FIND("~",SUBSTITUTE(Tabla1[[#This Row],[ENLACE]],"/","~",2))+1,LEN(Tabla1[[#This Row],[ENLACE]]))</f>
        <v>willem-ii</v>
      </c>
      <c r="B376" s="2" t="s">
        <v>594</v>
      </c>
      <c r="C376" t="str">
        <f>_xlfn.TEXTBEFORE(_xlfn.TEXTAFTER(Tabla1[[#This Row],[ENLACE]],"/",1),"/")</f>
        <v>netherlands</v>
      </c>
      <c r="D376" t="str">
        <f>Tabla1[[#This Row],[PAIS]]</f>
        <v>netherlands</v>
      </c>
      <c r="E376" s="8" t="str">
        <f ca="1">IF(VLOOKUP(Tabla1[[#This Row],[DIVISION]],$H$2:$I$44,2)="X","SI","NO")</f>
        <v>SI</v>
      </c>
    </row>
    <row r="377" spans="1:5" x14ac:dyDescent="0.3">
      <c r="A377" t="str">
        <f>MID(Tabla1[[#This Row],[ENLACE]],FIND("~",SUBSTITUTE(Tabla1[[#This Row],[ENLACE]],"/","~",2))+1,LEN(Tabla1[[#This Row],[ENLACE]]))</f>
        <v>pec-zwolle</v>
      </c>
      <c r="B377" s="5" t="s">
        <v>299</v>
      </c>
      <c r="C377" t="str">
        <f>_xlfn.TEXTBEFORE(_xlfn.TEXTAFTER(Tabla1[[#This Row],[ENLACE]],"/",1),"/")</f>
        <v>netherlands</v>
      </c>
      <c r="D377" t="str">
        <f>Tabla1[[#This Row],[PAIS]]</f>
        <v>netherlands</v>
      </c>
      <c r="E377" s="8" t="str">
        <f ca="1">IF(VLOOKUP(Tabla1[[#This Row],[DIVISION]],$H$2:$I$44,2)="X","SI","NO")</f>
        <v>SI</v>
      </c>
    </row>
    <row r="378" spans="1:5" x14ac:dyDescent="0.3">
      <c r="A378" t="str">
        <f>MID(Tabla1[[#This Row],[ENLACE]],FIND("~",SUBSTITUTE(Tabla1[[#This Row],[ENLACE]],"/","~",2))+1,LEN(Tabla1[[#This Row],[ENLACE]]))</f>
        <v>aalesunds-fk</v>
      </c>
      <c r="B378" s="2" t="s">
        <v>604</v>
      </c>
      <c r="C378" t="str">
        <f>_xlfn.TEXTBEFORE(_xlfn.TEXTAFTER(Tabla1[[#This Row],[ENLACE]],"/",1),"/")</f>
        <v>norway</v>
      </c>
      <c r="D378" t="str">
        <f>Tabla1[[#This Row],[PAIS]]</f>
        <v>norway</v>
      </c>
      <c r="E378" s="8" t="str">
        <f ca="1">IF(VLOOKUP(Tabla1[[#This Row],[DIVISION]],$H$2:$I$44,2)="X","SI","NO")</f>
        <v>SI</v>
      </c>
    </row>
    <row r="379" spans="1:5" x14ac:dyDescent="0.3">
      <c r="A379" t="str">
        <f>MID(Tabla1[[#This Row],[ENLACE]],FIND("~",SUBSTITUTE(Tabla1[[#This Row],[ENLACE]],"/","~",2))+1,LEN(Tabla1[[#This Row],[ENLACE]]))</f>
        <v>fk-bodo-glimt</v>
      </c>
      <c r="B379" s="5" t="s">
        <v>300</v>
      </c>
      <c r="C379" t="str">
        <f>_xlfn.TEXTBEFORE(_xlfn.TEXTAFTER(Tabla1[[#This Row],[ENLACE]],"/",1),"/")</f>
        <v>norway</v>
      </c>
      <c r="D379" t="str">
        <f>Tabla1[[#This Row],[PAIS]]</f>
        <v>norway</v>
      </c>
      <c r="E379" s="8" t="str">
        <f ca="1">IF(VLOOKUP(Tabla1[[#This Row],[DIVISION]],$H$2:$I$44,2)="X","SI","NO")</f>
        <v>SI</v>
      </c>
    </row>
    <row r="380" spans="1:5" x14ac:dyDescent="0.3">
      <c r="A380" t="str">
        <f>MID(Tabla1[[#This Row],[ENLACE]],FIND("~",SUBSTITUTE(Tabla1[[#This Row],[ENLACE]],"/","~",2))+1,LEN(Tabla1[[#This Row],[ENLACE]]))</f>
        <v>sk-brann</v>
      </c>
      <c r="B380" s="2" t="s">
        <v>301</v>
      </c>
      <c r="C380" t="str">
        <f>_xlfn.TEXTBEFORE(_xlfn.TEXTAFTER(Tabla1[[#This Row],[ENLACE]],"/",1),"/")</f>
        <v>norway</v>
      </c>
      <c r="D380" t="str">
        <f>Tabla1[[#This Row],[PAIS]]</f>
        <v>norway</v>
      </c>
      <c r="E380" s="8" t="str">
        <f ca="1">IF(VLOOKUP(Tabla1[[#This Row],[DIVISION]],$H$2:$I$44,2)="X","SI","NO")</f>
        <v>SI</v>
      </c>
    </row>
    <row r="381" spans="1:5" x14ac:dyDescent="0.3">
      <c r="A381" t="str">
        <f>MID(Tabla1[[#This Row],[ENLACE]],FIND("~",SUBSTITUTE(Tabla1[[#This Row],[ENLACE]],"/","~",2))+1,LEN(Tabla1[[#This Row],[ENLACE]]))</f>
        <v>fredrikstad-fk</v>
      </c>
      <c r="B381" s="5" t="s">
        <v>302</v>
      </c>
      <c r="C381" t="str">
        <f>_xlfn.TEXTBEFORE(_xlfn.TEXTAFTER(Tabla1[[#This Row],[ENLACE]],"/",1),"/")</f>
        <v>norway</v>
      </c>
      <c r="D381" t="str">
        <f>Tabla1[[#This Row],[PAIS]]</f>
        <v>norway</v>
      </c>
      <c r="E381" s="8" t="str">
        <f ca="1">IF(VLOOKUP(Tabla1[[#This Row],[DIVISION]],$H$2:$I$44,2)="X","SI","NO")</f>
        <v>SI</v>
      </c>
    </row>
    <row r="382" spans="1:5" x14ac:dyDescent="0.3">
      <c r="A382" t="str">
        <f>MID(Tabla1[[#This Row],[ENLACE]],FIND("~",SUBSTITUTE(Tabla1[[#This Row],[ENLACE]],"/","~",2))+1,LEN(Tabla1[[#This Row],[ENLACE]]))</f>
        <v>ham-kam</v>
      </c>
      <c r="B382" s="2" t="s">
        <v>303</v>
      </c>
      <c r="C382" t="str">
        <f>_xlfn.TEXTBEFORE(_xlfn.TEXTAFTER(Tabla1[[#This Row],[ENLACE]],"/",1),"/")</f>
        <v>norway</v>
      </c>
      <c r="D382" t="str">
        <f>Tabla1[[#This Row],[PAIS]]</f>
        <v>norway</v>
      </c>
      <c r="E382" s="8" t="str">
        <f ca="1">IF(VLOOKUP(Tabla1[[#This Row],[DIVISION]],$H$2:$I$44,2)="X","SI","NO")</f>
        <v>SI</v>
      </c>
    </row>
    <row r="383" spans="1:5" x14ac:dyDescent="0.3">
      <c r="A383" t="str">
        <f>MID(Tabla1[[#This Row],[ENLACE]],FIND("~",SUBSTITUTE(Tabla1[[#This Row],[ENLACE]],"/","~",2))+1,LEN(Tabla1[[#This Row],[ENLACE]]))</f>
        <v>kfum-kameratene-oslo</v>
      </c>
      <c r="B383" s="5" t="s">
        <v>304</v>
      </c>
      <c r="C383" t="str">
        <f>_xlfn.TEXTBEFORE(_xlfn.TEXTAFTER(Tabla1[[#This Row],[ENLACE]],"/",1),"/")</f>
        <v>norway</v>
      </c>
      <c r="D383" t="str">
        <f>Tabla1[[#This Row],[PAIS]]</f>
        <v>norway</v>
      </c>
      <c r="E383" s="8" t="str">
        <f ca="1">IF(VLOOKUP(Tabla1[[#This Row],[DIVISION]],$H$2:$I$44,2)="X","SI","NO")</f>
        <v>SI</v>
      </c>
    </row>
    <row r="384" spans="1:5" x14ac:dyDescent="0.3">
      <c r="A384" t="str">
        <f>MID(Tabla1[[#This Row],[ENLACE]],FIND("~",SUBSTITUTE(Tabla1[[#This Row],[ENLACE]],"/","~",2))+1,LEN(Tabla1[[#This Row],[ENLACE]]))</f>
        <v>kristiansund-bk</v>
      </c>
      <c r="B384" s="2" t="s">
        <v>305</v>
      </c>
      <c r="C384" t="str">
        <f>_xlfn.TEXTBEFORE(_xlfn.TEXTAFTER(Tabla1[[#This Row],[ENLACE]],"/",1),"/")</f>
        <v>norway</v>
      </c>
      <c r="D384" t="str">
        <f>Tabla1[[#This Row],[PAIS]]</f>
        <v>norway</v>
      </c>
      <c r="E384" s="8" t="str">
        <f ca="1">IF(VLOOKUP(Tabla1[[#This Row],[DIVISION]],$H$2:$I$44,2)="X","SI","NO")</f>
        <v>SI</v>
      </c>
    </row>
    <row r="385" spans="1:5" x14ac:dyDescent="0.3">
      <c r="A385" t="str">
        <f>MID(Tabla1[[#This Row],[ENLACE]],FIND("~",SUBSTITUTE(Tabla1[[#This Row],[ENLACE]],"/","~",2))+1,LEN(Tabla1[[#This Row],[ENLACE]]))</f>
        <v>lillestrom-sk</v>
      </c>
      <c r="B385" s="5" t="s">
        <v>605</v>
      </c>
      <c r="C385" t="str">
        <f>_xlfn.TEXTBEFORE(_xlfn.TEXTAFTER(Tabla1[[#This Row],[ENLACE]],"/",1),"/")</f>
        <v>norway</v>
      </c>
      <c r="D385" t="str">
        <f>Tabla1[[#This Row],[PAIS]]</f>
        <v>norway</v>
      </c>
      <c r="E385" s="8" t="str">
        <f ca="1">IF(VLOOKUP(Tabla1[[#This Row],[DIVISION]],$H$2:$I$44,2)="X","SI","NO")</f>
        <v>SI</v>
      </c>
    </row>
    <row r="386" spans="1:5" x14ac:dyDescent="0.3">
      <c r="A386" t="str">
        <f>MID(Tabla1[[#This Row],[ENLACE]],FIND("~",SUBSTITUTE(Tabla1[[#This Row],[ENLACE]],"/","~",2))+1,LEN(Tabla1[[#This Row],[ENLACE]]))</f>
        <v>molde-fk</v>
      </c>
      <c r="B386" s="2" t="s">
        <v>306</v>
      </c>
      <c r="C386" t="str">
        <f>_xlfn.TEXTBEFORE(_xlfn.TEXTAFTER(Tabla1[[#This Row],[ENLACE]],"/",1),"/")</f>
        <v>norway</v>
      </c>
      <c r="D386" t="str">
        <f>Tabla1[[#This Row],[PAIS]]</f>
        <v>norway</v>
      </c>
      <c r="E386" s="8" t="str">
        <f ca="1">IF(VLOOKUP(Tabla1[[#This Row],[DIVISION]],$H$2:$I$44,2)="X","SI","NO")</f>
        <v>SI</v>
      </c>
    </row>
    <row r="387" spans="1:5" x14ac:dyDescent="0.3">
      <c r="A387" t="str">
        <f>MID(Tabla1[[#This Row],[ENLACE]],FIND("~",SUBSTITUTE(Tabla1[[#This Row],[ENLACE]],"/","~",2))+1,LEN(Tabla1[[#This Row],[ENLACE]]))</f>
        <v>rosenborg-bk</v>
      </c>
      <c r="B387" s="5" t="s">
        <v>307</v>
      </c>
      <c r="C387" t="str">
        <f>_xlfn.TEXTBEFORE(_xlfn.TEXTAFTER(Tabla1[[#This Row],[ENLACE]],"/",1),"/")</f>
        <v>norway</v>
      </c>
      <c r="D387" t="str">
        <f>Tabla1[[#This Row],[PAIS]]</f>
        <v>norway</v>
      </c>
      <c r="E387" s="8" t="str">
        <f ca="1">IF(VLOOKUP(Tabla1[[#This Row],[DIVISION]],$H$2:$I$44,2)="X","SI","NO")</f>
        <v>SI</v>
      </c>
    </row>
    <row r="388" spans="1:5" x14ac:dyDescent="0.3">
      <c r="A388" t="str">
        <f>MID(Tabla1[[#This Row],[ENLACE]],FIND("~",SUBSTITUTE(Tabla1[[#This Row],[ENLACE]],"/","~",2))+1,LEN(Tabla1[[#This Row],[ENLACE]]))</f>
        <v>sandefjord-fotball</v>
      </c>
      <c r="B388" s="2" t="s">
        <v>308</v>
      </c>
      <c r="C388" t="str">
        <f>_xlfn.TEXTBEFORE(_xlfn.TEXTAFTER(Tabla1[[#This Row],[ENLACE]],"/",1),"/")</f>
        <v>norway</v>
      </c>
      <c r="D388" t="str">
        <f>Tabla1[[#This Row],[PAIS]]</f>
        <v>norway</v>
      </c>
      <c r="E388" s="8" t="str">
        <f ca="1">IF(VLOOKUP(Tabla1[[#This Row],[DIVISION]],$H$2:$I$44,2)="X","SI","NO")</f>
        <v>SI</v>
      </c>
    </row>
    <row r="389" spans="1:5" x14ac:dyDescent="0.3">
      <c r="A389" t="str">
        <f>MID(Tabla1[[#This Row],[ENLACE]],FIND("~",SUBSTITUTE(Tabla1[[#This Row],[ENLACE]],"/","~",2))+1,LEN(Tabla1[[#This Row],[ENLACE]]))</f>
        <v>sarpsborg-08-ff</v>
      </c>
      <c r="B389" s="5" t="s">
        <v>309</v>
      </c>
      <c r="C389" t="str">
        <f>_xlfn.TEXTBEFORE(_xlfn.TEXTAFTER(Tabla1[[#This Row],[ENLACE]],"/",1),"/")</f>
        <v>norway</v>
      </c>
      <c r="D389" t="str">
        <f>Tabla1[[#This Row],[PAIS]]</f>
        <v>norway</v>
      </c>
      <c r="E389" s="8" t="str">
        <f ca="1">IF(VLOOKUP(Tabla1[[#This Row],[DIVISION]],$H$2:$I$44,2)="X","SI","NO")</f>
        <v>SI</v>
      </c>
    </row>
    <row r="390" spans="1:5" x14ac:dyDescent="0.3">
      <c r="A390" t="str">
        <f>MID(Tabla1[[#This Row],[ENLACE]],FIND("~",SUBSTITUTE(Tabla1[[#This Row],[ENLACE]],"/","~",2))+1,LEN(Tabla1[[#This Row],[ENLACE]]))</f>
        <v>ik-start</v>
      </c>
      <c r="B390" s="2" t="s">
        <v>606</v>
      </c>
      <c r="C390" t="str">
        <f>_xlfn.TEXTBEFORE(_xlfn.TEXTAFTER(Tabla1[[#This Row],[ENLACE]],"/",1),"/")</f>
        <v>norway</v>
      </c>
      <c r="D390" t="str">
        <f>Tabla1[[#This Row],[PAIS]]</f>
        <v>norway</v>
      </c>
      <c r="E390" s="8" t="str">
        <f ca="1">IF(VLOOKUP(Tabla1[[#This Row],[DIVISION]],$H$2:$I$44,2)="X","SI","NO")</f>
        <v>SI</v>
      </c>
    </row>
    <row r="391" spans="1:5" x14ac:dyDescent="0.3">
      <c r="A391" t="str">
        <f>MID(Tabla1[[#This Row],[ENLACE]],FIND("~",SUBSTITUTE(Tabla1[[#This Row],[ENLACE]],"/","~",2))+1,LEN(Tabla1[[#This Row],[ENLACE]]))</f>
        <v>tromso-il</v>
      </c>
      <c r="B391" s="5" t="s">
        <v>310</v>
      </c>
      <c r="C391" t="str">
        <f>_xlfn.TEXTBEFORE(_xlfn.TEXTAFTER(Tabla1[[#This Row],[ENLACE]],"/",1),"/")</f>
        <v>norway</v>
      </c>
      <c r="D391" t="str">
        <f>Tabla1[[#This Row],[PAIS]]</f>
        <v>norway</v>
      </c>
      <c r="E391" s="8" t="str">
        <f ca="1">IF(VLOOKUP(Tabla1[[#This Row],[DIVISION]],$H$2:$I$44,2)="X","SI","NO")</f>
        <v>SI</v>
      </c>
    </row>
    <row r="392" spans="1:5" x14ac:dyDescent="0.3">
      <c r="A392" t="str">
        <f>MID(Tabla1[[#This Row],[ENLACE]],FIND("~",SUBSTITUTE(Tabla1[[#This Row],[ENLACE]],"/","~",2))+1,LEN(Tabla1[[#This Row],[ENLACE]]))</f>
        <v>valerenga-fotball</v>
      </c>
      <c r="B392" s="2" t="s">
        <v>311</v>
      </c>
      <c r="C392" t="str">
        <f>_xlfn.TEXTBEFORE(_xlfn.TEXTAFTER(Tabla1[[#This Row],[ENLACE]],"/",1),"/")</f>
        <v>norway</v>
      </c>
      <c r="D392" t="str">
        <f>Tabla1[[#This Row],[PAIS]]</f>
        <v>norway</v>
      </c>
      <c r="E392" s="8" t="str">
        <f ca="1">IF(VLOOKUP(Tabla1[[#This Row],[DIVISION]],$H$2:$I$44,2)="X","SI","NO")</f>
        <v>SI</v>
      </c>
    </row>
    <row r="393" spans="1:5" x14ac:dyDescent="0.3">
      <c r="A393" t="str">
        <f>MID(Tabla1[[#This Row],[ENLACE]],FIND("~",SUBSTITUTE(Tabla1[[#This Row],[ENLACE]],"/","~",2))+1,LEN(Tabla1[[#This Row],[ENLACE]]))</f>
        <v>viking-fk</v>
      </c>
      <c r="B393" s="5" t="s">
        <v>312</v>
      </c>
      <c r="C393" t="str">
        <f>_xlfn.TEXTBEFORE(_xlfn.TEXTAFTER(Tabla1[[#This Row],[ENLACE]],"/",1),"/")</f>
        <v>norway</v>
      </c>
      <c r="D393" t="str">
        <f>Tabla1[[#This Row],[PAIS]]</f>
        <v>norway</v>
      </c>
      <c r="E393" s="8" t="str">
        <f ca="1">IF(VLOOKUP(Tabla1[[#This Row],[DIVISION]],$H$2:$I$44,2)="X","SI","NO")</f>
        <v>SI</v>
      </c>
    </row>
    <row r="394" spans="1:5" x14ac:dyDescent="0.3">
      <c r="A394" t="str">
        <f>MID(Tabla1[[#This Row],[ENLACE]],FIND("~",SUBSTITUTE(Tabla1[[#This Row],[ENLACE]],"/","~",2))+1,LEN(Tabla1[[#This Row],[ENLACE]]))</f>
        <v>alianza-lima</v>
      </c>
      <c r="B394" t="s">
        <v>313</v>
      </c>
      <c r="C394" t="str">
        <f>_xlfn.TEXTBEFORE(_xlfn.TEXTAFTER(Tabla1[[#This Row],[ENLACE]],"/",1),"/")</f>
        <v>peru</v>
      </c>
      <c r="D394" t="str">
        <f>Tabla1[[#This Row],[PAIS]]</f>
        <v>peru</v>
      </c>
      <c r="E394" s="8" t="str">
        <f ca="1">IF(VLOOKUP(Tabla1[[#This Row],[DIVISION]],$H$2:$I$44,2)="X","SI","NO")</f>
        <v>SI</v>
      </c>
    </row>
    <row r="395" spans="1:5" x14ac:dyDescent="0.3">
      <c r="A395" t="str">
        <f>MID(Tabla1[[#This Row],[ENLACE]],FIND("~",SUBSTITUTE(Tabla1[[#This Row],[ENLACE]],"/","~",2))+1,LEN(Tabla1[[#This Row],[ENLACE]]))</f>
        <v>asociacion-deportiva-tarma</v>
      </c>
      <c r="B395" t="s">
        <v>314</v>
      </c>
      <c r="C395" t="str">
        <f>_xlfn.TEXTBEFORE(_xlfn.TEXTAFTER(Tabla1[[#This Row],[ENLACE]],"/",1),"/")</f>
        <v>peru</v>
      </c>
      <c r="D395" t="str">
        <f>Tabla1[[#This Row],[PAIS]]</f>
        <v>peru</v>
      </c>
      <c r="E395" s="8" t="str">
        <f ca="1">IF(VLOOKUP(Tabla1[[#This Row],[DIVISION]],$H$2:$I$44,2)="X","SI","NO")</f>
        <v>SI</v>
      </c>
    </row>
    <row r="396" spans="1:5" x14ac:dyDescent="0.3">
      <c r="A396" t="str">
        <f>MID(Tabla1[[#This Row],[ENLACE]],FIND("~",SUBSTITUTE(Tabla1[[#This Row],[ENLACE]],"/","~",2))+1,LEN(Tabla1[[#This Row],[ENLACE]]))</f>
        <v>alianza-atletico</v>
      </c>
      <c r="B396" t="s">
        <v>315</v>
      </c>
      <c r="C396" t="str">
        <f>_xlfn.TEXTBEFORE(_xlfn.TEXTAFTER(Tabla1[[#This Row],[ENLACE]],"/",1),"/")</f>
        <v>peru</v>
      </c>
      <c r="D396" t="str">
        <f>Tabla1[[#This Row],[PAIS]]</f>
        <v>peru</v>
      </c>
      <c r="E396" s="8" t="str">
        <f ca="1">IF(VLOOKUP(Tabla1[[#This Row],[DIVISION]],$H$2:$I$44,2)="X","SI","NO")</f>
        <v>SI</v>
      </c>
    </row>
    <row r="397" spans="1:5" x14ac:dyDescent="0.3">
      <c r="A397" t="str">
        <f>MID(Tabla1[[#This Row],[ENLACE]],FIND("~",SUBSTITUTE(Tabla1[[#This Row],[ENLACE]],"/","~",2))+1,LEN(Tabla1[[#This Row],[ENLACE]]))</f>
        <v>universidad-tecnica-de-cajamarca</v>
      </c>
      <c r="B397" t="s">
        <v>316</v>
      </c>
      <c r="C397" t="str">
        <f>_xlfn.TEXTBEFORE(_xlfn.TEXTAFTER(Tabla1[[#This Row],[ENLACE]],"/",1),"/")</f>
        <v>peru</v>
      </c>
      <c r="D397" t="str">
        <f>Tabla1[[#This Row],[PAIS]]</f>
        <v>peru</v>
      </c>
      <c r="E397" s="8" t="str">
        <f ca="1">IF(VLOOKUP(Tabla1[[#This Row],[DIVISION]],$H$2:$I$44,2)="X","SI","NO")</f>
        <v>SI</v>
      </c>
    </row>
    <row r="398" spans="1:5" x14ac:dyDescent="0.3">
      <c r="A398" t="str">
        <f>MID(Tabla1[[#This Row],[ENLACE]],FIND("~",SUBSTITUTE(Tabla1[[#This Row],[ENLACE]],"/","~",2))+1,LEN(Tabla1[[#This Row],[ENLACE]]))</f>
        <v>club-sportivo-cienciano</v>
      </c>
      <c r="B398" t="s">
        <v>317</v>
      </c>
      <c r="C398" t="str">
        <f>_xlfn.TEXTBEFORE(_xlfn.TEXTAFTER(Tabla1[[#This Row],[ENLACE]],"/",1),"/")</f>
        <v>peru</v>
      </c>
      <c r="D398" t="str">
        <f>Tabla1[[#This Row],[PAIS]]</f>
        <v>peru</v>
      </c>
      <c r="E398" s="8" t="str">
        <f ca="1">IF(VLOOKUP(Tabla1[[#This Row],[DIVISION]],$H$2:$I$44,2)="X","SI","NO")</f>
        <v>SI</v>
      </c>
    </row>
    <row r="399" spans="1:5" x14ac:dyDescent="0.3">
      <c r="A399" t="str">
        <f>MID(Tabla1[[#This Row],[ENLACE]],FIND("~",SUBSTITUTE(Tabla1[[#This Row],[ENLACE]],"/","~",2))+1,LEN(Tabla1[[#This Row],[ENLACE]]))</f>
        <v>comerciantes-unidos</v>
      </c>
      <c r="B399" t="s">
        <v>318</v>
      </c>
      <c r="C399" t="str">
        <f>_xlfn.TEXTBEFORE(_xlfn.TEXTAFTER(Tabla1[[#This Row],[ENLACE]],"/",1),"/")</f>
        <v>peru</v>
      </c>
      <c r="D399" t="str">
        <f>Tabla1[[#This Row],[PAIS]]</f>
        <v>peru</v>
      </c>
      <c r="E399" s="8" t="str">
        <f ca="1">IF(VLOOKUP(Tabla1[[#This Row],[DIVISION]],$H$2:$I$44,2)="X","SI","NO")</f>
        <v>SI</v>
      </c>
    </row>
    <row r="400" spans="1:5" x14ac:dyDescent="0.3">
      <c r="A400" t="str">
        <f>MID(Tabla1[[#This Row],[ENLACE]],FIND("~",SUBSTITUTE(Tabla1[[#This Row],[ENLACE]],"/","~",2))+1,LEN(Tabla1[[#This Row],[ENLACE]]))</f>
        <v>cusco-fc</v>
      </c>
      <c r="B400" t="s">
        <v>319</v>
      </c>
      <c r="C400" t="str">
        <f>_xlfn.TEXTBEFORE(_xlfn.TEXTAFTER(Tabla1[[#This Row],[ENLACE]],"/",1),"/")</f>
        <v>peru</v>
      </c>
      <c r="D400" t="str">
        <f>Tabla1[[#This Row],[PAIS]]</f>
        <v>peru</v>
      </c>
      <c r="E400" s="8" t="str">
        <f ca="1">IF(VLOOKUP(Tabla1[[#This Row],[DIVISION]],$H$2:$I$44,2)="X","SI","NO")</f>
        <v>SI</v>
      </c>
    </row>
    <row r="401" spans="1:5" x14ac:dyDescent="0.3">
      <c r="A401" t="str">
        <f>MID(Tabla1[[#This Row],[ENLACE]],FIND("~",SUBSTITUTE(Tabla1[[#This Row],[ENLACE]],"/","~",2))+1,LEN(Tabla1[[#This Row],[ENLACE]]))</f>
        <v>deportivo-garcilaso</v>
      </c>
      <c r="B401" t="s">
        <v>320</v>
      </c>
      <c r="C401" t="str">
        <f>_xlfn.TEXTBEFORE(_xlfn.TEXTAFTER(Tabla1[[#This Row],[ENLACE]],"/",1),"/")</f>
        <v>peru</v>
      </c>
      <c r="D401" t="str">
        <f>Tabla1[[#This Row],[PAIS]]</f>
        <v>peru</v>
      </c>
      <c r="E401" s="8" t="str">
        <f ca="1">IF(VLOOKUP(Tabla1[[#This Row],[DIVISION]],$H$2:$I$44,2)="X","SI","NO")</f>
        <v>SI</v>
      </c>
    </row>
    <row r="402" spans="1:5" x14ac:dyDescent="0.3">
      <c r="A402" t="str">
        <f>MID(Tabla1[[#This Row],[ENLACE]],FIND("~",SUBSTITUTE(Tabla1[[#This Row],[ENLACE]],"/","~",2))+1,LEN(Tabla1[[#This Row],[ENLACE]]))</f>
        <v>fc-cajamarca</v>
      </c>
      <c r="B402" t="s">
        <v>534</v>
      </c>
      <c r="C402" t="str">
        <f>_xlfn.TEXTBEFORE(_xlfn.TEXTAFTER(Tabla1[[#This Row],[ENLACE]],"/",1),"/")</f>
        <v>peru</v>
      </c>
      <c r="D402" t="str">
        <f>Tabla1[[#This Row],[PAIS]]</f>
        <v>peru</v>
      </c>
      <c r="E402" s="8" t="str">
        <f ca="1">IF(VLOOKUP(Tabla1[[#This Row],[DIVISION]],$H$2:$I$44,2)="X","SI","NO")</f>
        <v>SI</v>
      </c>
    </row>
    <row r="403" spans="1:5" x14ac:dyDescent="0.3">
      <c r="A403" t="str">
        <f>MID(Tabla1[[#This Row],[ENLACE]],FIND("~",SUBSTITUTE(Tabla1[[#This Row],[ENLACE]],"/","~",2))+1,LEN(Tabla1[[#This Row],[ENLACE]]))</f>
        <v>atletico-grau</v>
      </c>
      <c r="B403" t="s">
        <v>321</v>
      </c>
      <c r="C403" t="str">
        <f>_xlfn.TEXTBEFORE(_xlfn.TEXTAFTER(Tabla1[[#This Row],[ENLACE]],"/",1),"/")</f>
        <v>peru</v>
      </c>
      <c r="D403" t="str">
        <f>Tabla1[[#This Row],[PAIS]]</f>
        <v>peru</v>
      </c>
      <c r="E403" s="8" t="str">
        <f ca="1">IF(VLOOKUP(Tabla1[[#This Row],[DIVISION]],$H$2:$I$44,2)="X","SI","NO")</f>
        <v>SI</v>
      </c>
    </row>
    <row r="404" spans="1:5" x14ac:dyDescent="0.3">
      <c r="A404" t="str">
        <f>MID(Tabla1[[#This Row],[ENLACE]],FIND("~",SUBSTITUTE(Tabla1[[#This Row],[ENLACE]],"/","~",2))+1,LEN(Tabla1[[#This Row],[ENLACE]]))</f>
        <v>sport-huancayo</v>
      </c>
      <c r="B404" t="s">
        <v>322</v>
      </c>
      <c r="C404" t="str">
        <f>_xlfn.TEXTBEFORE(_xlfn.TEXTAFTER(Tabla1[[#This Row],[ENLACE]],"/",1),"/")</f>
        <v>peru</v>
      </c>
      <c r="D404" t="str">
        <f>Tabla1[[#This Row],[PAIS]]</f>
        <v>peru</v>
      </c>
      <c r="E404" s="8" t="str">
        <f ca="1">IF(VLOOKUP(Tabla1[[#This Row],[DIVISION]],$H$2:$I$44,2)="X","SI","NO")</f>
        <v>SI</v>
      </c>
    </row>
    <row r="405" spans="1:5" x14ac:dyDescent="0.3">
      <c r="A405" t="str">
        <f>MID(Tabla1[[#This Row],[ENLACE]],FIND("~",SUBSTITUTE(Tabla1[[#This Row],[ENLACE]],"/","~",2))+1,LEN(Tabla1[[#This Row],[ENLACE]]))</f>
        <v>adc-juan-pablo-ii-college</v>
      </c>
      <c r="B405" t="s">
        <v>323</v>
      </c>
      <c r="C405" t="str">
        <f>_xlfn.TEXTBEFORE(_xlfn.TEXTAFTER(Tabla1[[#This Row],[ENLACE]],"/",1),"/")</f>
        <v>peru</v>
      </c>
      <c r="D405" t="str">
        <f>Tabla1[[#This Row],[PAIS]]</f>
        <v>peru</v>
      </c>
      <c r="E405" s="8" t="str">
        <f ca="1">IF(VLOOKUP(Tabla1[[#This Row],[DIVISION]],$H$2:$I$44,2)="X","SI","NO")</f>
        <v>SI</v>
      </c>
    </row>
    <row r="406" spans="1:5" x14ac:dyDescent="0.3">
      <c r="A406" t="str">
        <f>MID(Tabla1[[#This Row],[ENLACE]],FIND("~",SUBSTITUTE(Tabla1[[#This Row],[ENLACE]],"/","~",2))+1,LEN(Tabla1[[#This Row],[ENLACE]]))</f>
        <v>los-chankas-cyc</v>
      </c>
      <c r="B406" t="s">
        <v>324</v>
      </c>
      <c r="C406" t="str">
        <f>_xlfn.TEXTBEFORE(_xlfn.TEXTAFTER(Tabla1[[#This Row],[ENLACE]],"/",1),"/")</f>
        <v>peru</v>
      </c>
      <c r="D406" t="str">
        <f>Tabla1[[#This Row],[PAIS]]</f>
        <v>peru</v>
      </c>
      <c r="E406" s="8" t="str">
        <f ca="1">IF(VLOOKUP(Tabla1[[#This Row],[DIVISION]],$H$2:$I$44,2)="X","SI","NO")</f>
        <v>SI</v>
      </c>
    </row>
    <row r="407" spans="1:5" x14ac:dyDescent="0.3">
      <c r="A407" t="str">
        <f>MID(Tabla1[[#This Row],[ENLACE]],FIND("~",SUBSTITUTE(Tabla1[[#This Row],[ENLACE]],"/","~",2))+1,LEN(Tabla1[[#This Row],[ENLACE]]))</f>
        <v>fbc-melgar</v>
      </c>
      <c r="B407" t="s">
        <v>325</v>
      </c>
      <c r="C407" t="str">
        <f>_xlfn.TEXTBEFORE(_xlfn.TEXTAFTER(Tabla1[[#This Row],[ENLACE]],"/",1),"/")</f>
        <v>peru</v>
      </c>
      <c r="D407" t="str">
        <f>Tabla1[[#This Row],[PAIS]]</f>
        <v>peru</v>
      </c>
      <c r="E407" s="8" t="str">
        <f ca="1">IF(VLOOKUP(Tabla1[[#This Row],[DIVISION]],$H$2:$I$44,2)="X","SI","NO")</f>
        <v>SI</v>
      </c>
    </row>
    <row r="408" spans="1:5" x14ac:dyDescent="0.3">
      <c r="A408" t="str">
        <f>MID(Tabla1[[#This Row],[ENLACE]],FIND("~",SUBSTITUTE(Tabla1[[#This Row],[ENLACE]],"/","~",2))+1,LEN(Tabla1[[#This Row],[ENLACE]]))</f>
        <v>club-deportivo-moquegua</v>
      </c>
      <c r="B408" t="s">
        <v>535</v>
      </c>
      <c r="C408" t="str">
        <f>_xlfn.TEXTBEFORE(_xlfn.TEXTAFTER(Tabla1[[#This Row],[ENLACE]],"/",1),"/")</f>
        <v>peru</v>
      </c>
      <c r="D408" t="str">
        <f>Tabla1[[#This Row],[PAIS]]</f>
        <v>peru</v>
      </c>
      <c r="E408" s="8" t="str">
        <f ca="1">IF(VLOOKUP(Tabla1[[#This Row],[DIVISION]],$H$2:$I$44,2)="X","SI","NO")</f>
        <v>SI</v>
      </c>
    </row>
    <row r="409" spans="1:5" x14ac:dyDescent="0.3">
      <c r="A409" t="str">
        <f>MID(Tabla1[[#This Row],[ENLACE]],FIND("~",SUBSTITUTE(Tabla1[[#This Row],[ENLACE]],"/","~",2))+1,LEN(Tabla1[[#This Row],[ENLACE]]))</f>
        <v>sport-boys</v>
      </c>
      <c r="B409" t="s">
        <v>326</v>
      </c>
      <c r="C409" t="str">
        <f>_xlfn.TEXTBEFORE(_xlfn.TEXTAFTER(Tabla1[[#This Row],[ENLACE]],"/",1),"/")</f>
        <v>peru</v>
      </c>
      <c r="D409" t="str">
        <f>Tabla1[[#This Row],[PAIS]]</f>
        <v>peru</v>
      </c>
      <c r="E409" s="8" t="str">
        <f ca="1">IF(VLOOKUP(Tabla1[[#This Row],[DIVISION]],$H$2:$I$44,2)="X","SI","NO")</f>
        <v>SI</v>
      </c>
    </row>
    <row r="410" spans="1:5" x14ac:dyDescent="0.3">
      <c r="A410" t="str">
        <f>MID(Tabla1[[#This Row],[ENLACE]],FIND("~",SUBSTITUTE(Tabla1[[#This Row],[ENLACE]],"/","~",2))+1,LEN(Tabla1[[#This Row],[ENLACE]]))</f>
        <v>sporting-cristal</v>
      </c>
      <c r="B410" t="s">
        <v>327</v>
      </c>
      <c r="C410" t="str">
        <f>_xlfn.TEXTBEFORE(_xlfn.TEXTAFTER(Tabla1[[#This Row],[ENLACE]],"/",1),"/")</f>
        <v>peru</v>
      </c>
      <c r="D410" t="str">
        <f>Tabla1[[#This Row],[PAIS]]</f>
        <v>peru</v>
      </c>
      <c r="E410" s="8" t="str">
        <f ca="1">IF(VLOOKUP(Tabla1[[#This Row],[DIVISION]],$H$2:$I$44,2)="X","SI","NO")</f>
        <v>SI</v>
      </c>
    </row>
    <row r="411" spans="1:5" x14ac:dyDescent="0.3">
      <c r="A411" t="str">
        <f>MID(Tabla1[[#This Row],[ENLACE]],FIND("~",SUBSTITUTE(Tabla1[[#This Row],[ENLACE]],"/","~",2))+1,LEN(Tabla1[[#This Row],[ENLACE]]))</f>
        <v>club-universitario-de-deportes</v>
      </c>
      <c r="B411" t="s">
        <v>328</v>
      </c>
      <c r="C411" t="str">
        <f>_xlfn.TEXTBEFORE(_xlfn.TEXTAFTER(Tabla1[[#This Row],[ENLACE]],"/",1),"/")</f>
        <v>peru</v>
      </c>
      <c r="D411" t="str">
        <f>Tabla1[[#This Row],[PAIS]]</f>
        <v>peru</v>
      </c>
      <c r="E411" s="8" t="str">
        <f ca="1">IF(VLOOKUP(Tabla1[[#This Row],[DIVISION]],$H$2:$I$44,2)="X","SI","NO")</f>
        <v>SI</v>
      </c>
    </row>
    <row r="412" spans="1:5" x14ac:dyDescent="0.3">
      <c r="A412" t="str">
        <f>MID(Tabla1[[#This Row],[ENLACE]],FIND("~",SUBSTITUTE(Tabla1[[#This Row],[ENLACE]],"/","~",2))+1,LEN(Tabla1[[#This Row],[ENLACE]]))</f>
        <v>cracovia</v>
      </c>
      <c r="B412" s="5" t="s">
        <v>329</v>
      </c>
      <c r="C412" t="str">
        <f>_xlfn.TEXTBEFORE(_xlfn.TEXTAFTER(Tabla1[[#This Row],[ENLACE]],"/",1),"/")</f>
        <v>poland</v>
      </c>
      <c r="D412" t="str">
        <f>Tabla1[[#This Row],[PAIS]]</f>
        <v>poland</v>
      </c>
      <c r="E412" s="8" t="str">
        <f ca="1">IF(VLOOKUP(Tabla1[[#This Row],[DIVISION]],$H$2:$I$44,2)="X","SI","NO")</f>
        <v>SI</v>
      </c>
    </row>
    <row r="413" spans="1:5" x14ac:dyDescent="0.3">
      <c r="A413" t="str">
        <f>MID(Tabla1[[#This Row],[ENLACE]],FIND("~",SUBSTITUTE(Tabla1[[#This Row],[ENLACE]],"/","~",2))+1,LEN(Tabla1[[#This Row],[ENLACE]]))</f>
        <v>gornik-zabrze</v>
      </c>
      <c r="B413" s="2" t="s">
        <v>330</v>
      </c>
      <c r="C413" t="str">
        <f>_xlfn.TEXTBEFORE(_xlfn.TEXTAFTER(Tabla1[[#This Row],[ENLACE]],"/",1),"/")</f>
        <v>poland</v>
      </c>
      <c r="D413" t="str">
        <f>Tabla1[[#This Row],[PAIS]]</f>
        <v>poland</v>
      </c>
      <c r="E413" s="8" t="str">
        <f ca="1">IF(VLOOKUP(Tabla1[[#This Row],[DIVISION]],$H$2:$I$44,2)="X","SI","NO")</f>
        <v>SI</v>
      </c>
    </row>
    <row r="414" spans="1:5" x14ac:dyDescent="0.3">
      <c r="A414" t="str">
        <f>MID(Tabla1[[#This Row],[ENLACE]],FIND("~",SUBSTITUTE(Tabla1[[#This Row],[ENLACE]],"/","~",2))+1,LEN(Tabla1[[#This Row],[ENLACE]]))</f>
        <v>jagiellona-bialystok</v>
      </c>
      <c r="B414" s="5" t="s">
        <v>331</v>
      </c>
      <c r="C414" t="str">
        <f>_xlfn.TEXTBEFORE(_xlfn.TEXTAFTER(Tabla1[[#This Row],[ENLACE]],"/",1),"/")</f>
        <v>poland</v>
      </c>
      <c r="D414" t="str">
        <f>Tabla1[[#This Row],[PAIS]]</f>
        <v>poland</v>
      </c>
      <c r="E414" s="8" t="str">
        <f ca="1">IF(VLOOKUP(Tabla1[[#This Row],[DIVISION]],$H$2:$I$44,2)="X","SI","NO")</f>
        <v>SI</v>
      </c>
    </row>
    <row r="415" spans="1:5" x14ac:dyDescent="0.3">
      <c r="A415" t="str">
        <f>MID(Tabla1[[#This Row],[ENLACE]],FIND("~",SUBSTITUTE(Tabla1[[#This Row],[ENLACE]],"/","~",2))+1,LEN(Tabla1[[#This Row],[ENLACE]]))</f>
        <v>gks-katowice</v>
      </c>
      <c r="B415" s="2" t="s">
        <v>332</v>
      </c>
      <c r="C415" t="str">
        <f>_xlfn.TEXTBEFORE(_xlfn.TEXTAFTER(Tabla1[[#This Row],[ENLACE]],"/",1),"/")</f>
        <v>poland</v>
      </c>
      <c r="D415" t="str">
        <f>Tabla1[[#This Row],[PAIS]]</f>
        <v>poland</v>
      </c>
      <c r="E415" s="8" t="str">
        <f ca="1">IF(VLOOKUP(Tabla1[[#This Row],[DIVISION]],$H$2:$I$44,2)="X","SI","NO")</f>
        <v>SI</v>
      </c>
    </row>
    <row r="416" spans="1:5" x14ac:dyDescent="0.3">
      <c r="A416" t="str">
        <f>MID(Tabla1[[#This Row],[ENLACE]],FIND("~",SUBSTITUTE(Tabla1[[#This Row],[ENLACE]],"/","~",2))+1,LEN(Tabla1[[#This Row],[ENLACE]]))</f>
        <v>korona-kielce</v>
      </c>
      <c r="B416" s="5" t="s">
        <v>333</v>
      </c>
      <c r="C416" t="str">
        <f>_xlfn.TEXTBEFORE(_xlfn.TEXTAFTER(Tabla1[[#This Row],[ENLACE]],"/",1),"/")</f>
        <v>poland</v>
      </c>
      <c r="D416" t="str">
        <f>Tabla1[[#This Row],[PAIS]]</f>
        <v>poland</v>
      </c>
      <c r="E416" s="8" t="str">
        <f ca="1">IF(VLOOKUP(Tabla1[[#This Row],[DIVISION]],$H$2:$I$44,2)="X","SI","NO")</f>
        <v>SI</v>
      </c>
    </row>
    <row r="417" spans="1:5" x14ac:dyDescent="0.3">
      <c r="A417" t="str">
        <f>MID(Tabla1[[#This Row],[ENLACE]],FIND("~",SUBSTITUTE(Tabla1[[#This Row],[ENLACE]],"/","~",2))+1,LEN(Tabla1[[#This Row],[ENLACE]]))</f>
        <v>lech-poznan</v>
      </c>
      <c r="B417" s="2" t="s">
        <v>334</v>
      </c>
      <c r="C417" t="str">
        <f>_xlfn.TEXTBEFORE(_xlfn.TEXTAFTER(Tabla1[[#This Row],[ENLACE]],"/",1),"/")</f>
        <v>poland</v>
      </c>
      <c r="D417" t="str">
        <f>Tabla1[[#This Row],[PAIS]]</f>
        <v>poland</v>
      </c>
      <c r="E417" s="8" t="str">
        <f ca="1">IF(VLOOKUP(Tabla1[[#This Row],[DIVISION]],$H$2:$I$44,2)="X","SI","NO")</f>
        <v>SI</v>
      </c>
    </row>
    <row r="418" spans="1:5" x14ac:dyDescent="0.3">
      <c r="A418" t="str">
        <f>MID(Tabla1[[#This Row],[ENLACE]],FIND("~",SUBSTITUTE(Tabla1[[#This Row],[ENLACE]],"/","~",2))+1,LEN(Tabla1[[#This Row],[ENLACE]]))</f>
        <v>legia-warsaw</v>
      </c>
      <c r="B418" s="5" t="s">
        <v>335</v>
      </c>
      <c r="C418" t="str">
        <f>_xlfn.TEXTBEFORE(_xlfn.TEXTAFTER(Tabla1[[#This Row],[ENLACE]],"/",1),"/")</f>
        <v>poland</v>
      </c>
      <c r="D418" t="str">
        <f>Tabla1[[#This Row],[PAIS]]</f>
        <v>poland</v>
      </c>
      <c r="E418" s="8" t="str">
        <f ca="1">IF(VLOOKUP(Tabla1[[#This Row],[DIVISION]],$H$2:$I$44,2)="X","SI","NO")</f>
        <v>SI</v>
      </c>
    </row>
    <row r="419" spans="1:5" x14ac:dyDescent="0.3">
      <c r="A419" t="str">
        <f>MID(Tabla1[[#This Row],[ENLACE]],FIND("~",SUBSTITUTE(Tabla1[[#This Row],[ENLACE]],"/","~",2))+1,LEN(Tabla1[[#This Row],[ENLACE]]))</f>
        <v>motor-lublin</v>
      </c>
      <c r="B419" s="2" t="s">
        <v>336</v>
      </c>
      <c r="C419" t="str">
        <f>_xlfn.TEXTBEFORE(_xlfn.TEXTAFTER(Tabla1[[#This Row],[ENLACE]],"/",1),"/")</f>
        <v>poland</v>
      </c>
      <c r="D419" t="str">
        <f>Tabla1[[#This Row],[PAIS]]</f>
        <v>poland</v>
      </c>
      <c r="E419" s="8" t="str">
        <f ca="1">IF(VLOOKUP(Tabla1[[#This Row],[DIVISION]],$H$2:$I$44,2)="X","SI","NO")</f>
        <v>SI</v>
      </c>
    </row>
    <row r="420" spans="1:5" x14ac:dyDescent="0.3">
      <c r="A420" t="str">
        <f>MID(Tabla1[[#This Row],[ENLACE]],FIND("~",SUBSTITUTE(Tabla1[[#This Row],[ENLACE]],"/","~",2))+1,LEN(Tabla1[[#This Row],[ENLACE]]))</f>
        <v>piast-gliwice</v>
      </c>
      <c r="B420" s="5" t="s">
        <v>337</v>
      </c>
      <c r="C420" t="str">
        <f>_xlfn.TEXTBEFORE(_xlfn.TEXTAFTER(Tabla1[[#This Row],[ENLACE]],"/",1),"/")</f>
        <v>poland</v>
      </c>
      <c r="D420" t="str">
        <f>Tabla1[[#This Row],[PAIS]]</f>
        <v>poland</v>
      </c>
      <c r="E420" s="8" t="str">
        <f ca="1">IF(VLOOKUP(Tabla1[[#This Row],[DIVISION]],$H$2:$I$44,2)="X","SI","NO")</f>
        <v>SI</v>
      </c>
    </row>
    <row r="421" spans="1:5" x14ac:dyDescent="0.3">
      <c r="A421" t="str">
        <f>MID(Tabla1[[#This Row],[ENLACE]],FIND("~",SUBSTITUTE(Tabla1[[#This Row],[ENLACE]],"/","~",2))+1,LEN(Tabla1[[#This Row],[ENLACE]]))</f>
        <v>mks-pogon-szczecin</v>
      </c>
      <c r="B421" s="2" t="s">
        <v>338</v>
      </c>
      <c r="C421" t="str">
        <f>_xlfn.TEXTBEFORE(_xlfn.TEXTAFTER(Tabla1[[#This Row],[ENLACE]],"/",1),"/")</f>
        <v>poland</v>
      </c>
      <c r="D421" t="str">
        <f>Tabla1[[#This Row],[PAIS]]</f>
        <v>poland</v>
      </c>
      <c r="E421" s="8" t="str">
        <f ca="1">IF(VLOOKUP(Tabla1[[#This Row],[DIVISION]],$H$2:$I$44,2)="X","SI","NO")</f>
        <v>SI</v>
      </c>
    </row>
    <row r="422" spans="1:5" x14ac:dyDescent="0.3">
      <c r="A422" t="str">
        <f>MID(Tabla1[[#This Row],[ENLACE]],FIND("~",SUBSTITUTE(Tabla1[[#This Row],[ENLACE]],"/","~",2))+1,LEN(Tabla1[[#This Row],[ENLACE]]))</f>
        <v>radomiak-radom</v>
      </c>
      <c r="B422" s="5" t="s">
        <v>339</v>
      </c>
      <c r="C422" t="str">
        <f>_xlfn.TEXTBEFORE(_xlfn.TEXTAFTER(Tabla1[[#This Row],[ENLACE]],"/",1),"/")</f>
        <v>poland</v>
      </c>
      <c r="D422" t="str">
        <f>Tabla1[[#This Row],[PAIS]]</f>
        <v>poland</v>
      </c>
      <c r="E422" s="8" t="str">
        <f ca="1">IF(VLOOKUP(Tabla1[[#This Row],[DIVISION]],$H$2:$I$44,2)="X","SI","NO")</f>
        <v>SI</v>
      </c>
    </row>
    <row r="423" spans="1:5" x14ac:dyDescent="0.3">
      <c r="A423" t="str">
        <f>MID(Tabla1[[#This Row],[ENLACE]],FIND("~",SUBSTITUTE(Tabla1[[#This Row],[ENLACE]],"/","~",2))+1,LEN(Tabla1[[#This Row],[ENLACE]]))</f>
        <v>rakow-czestochowa</v>
      </c>
      <c r="B423" s="2" t="s">
        <v>340</v>
      </c>
      <c r="C423" t="str">
        <f>_xlfn.TEXTBEFORE(_xlfn.TEXTAFTER(Tabla1[[#This Row],[ENLACE]],"/",1),"/")</f>
        <v>poland</v>
      </c>
      <c r="D423" t="str">
        <f>Tabla1[[#This Row],[PAIS]]</f>
        <v>poland</v>
      </c>
      <c r="E423" s="8" t="str">
        <f ca="1">IF(VLOOKUP(Tabla1[[#This Row],[DIVISION]],$H$2:$I$44,2)="X","SI","NO")</f>
        <v>SI</v>
      </c>
    </row>
    <row r="424" spans="1:5" x14ac:dyDescent="0.3">
      <c r="A424" t="str">
        <f>MID(Tabla1[[#This Row],[ENLACE]],FIND("~",SUBSTITUTE(Tabla1[[#This Row],[ENLACE]],"/","~",2))+1,LEN(Tabla1[[#This Row],[ENLACE]]))</f>
        <v>slask-wroclaw</v>
      </c>
      <c r="B424" s="5" t="s">
        <v>582</v>
      </c>
      <c r="C424" t="str">
        <f>_xlfn.TEXTBEFORE(_xlfn.TEXTAFTER(Tabla1[[#This Row],[ENLACE]],"/",1),"/")</f>
        <v>poland</v>
      </c>
      <c r="D424" t="str">
        <f>Tabla1[[#This Row],[PAIS]]</f>
        <v>poland</v>
      </c>
      <c r="E424" s="8" t="str">
        <f ca="1">IF(VLOOKUP(Tabla1[[#This Row],[DIVISION]],$H$2:$I$44,2)="X","SI","NO")</f>
        <v>SI</v>
      </c>
    </row>
    <row r="425" spans="1:5" x14ac:dyDescent="0.3">
      <c r="A425" t="str">
        <f>MID(Tabla1[[#This Row],[ENLACE]],FIND("~",SUBSTITUTE(Tabla1[[#This Row],[ENLACE]],"/","~",2))+1,LEN(Tabla1[[#This Row],[ENLACE]]))</f>
        <v>rts-widzew-lodz</v>
      </c>
      <c r="B425" s="2" t="s">
        <v>341</v>
      </c>
      <c r="C425" t="str">
        <f>_xlfn.TEXTBEFORE(_xlfn.TEXTAFTER(Tabla1[[#This Row],[ENLACE]],"/",1),"/")</f>
        <v>poland</v>
      </c>
      <c r="D425" t="str">
        <f>Tabla1[[#This Row],[PAIS]]</f>
        <v>poland</v>
      </c>
      <c r="E425" s="8" t="str">
        <f ca="1">IF(VLOOKUP(Tabla1[[#This Row],[DIVISION]],$H$2:$I$44,2)="X","SI","NO")</f>
        <v>SI</v>
      </c>
    </row>
    <row r="426" spans="1:5" x14ac:dyDescent="0.3">
      <c r="A426" t="str">
        <f>MID(Tabla1[[#This Row],[ENLACE]],FIND("~",SUBSTITUTE(Tabla1[[#This Row],[ENLACE]],"/","~",2))+1,LEN(Tabla1[[#This Row],[ENLACE]]))</f>
        <v>ks-wieczysta-krokow</v>
      </c>
      <c r="B426" s="5" t="s">
        <v>583</v>
      </c>
      <c r="C426" t="str">
        <f>_xlfn.TEXTBEFORE(_xlfn.TEXTAFTER(Tabla1[[#This Row],[ENLACE]],"/",1),"/")</f>
        <v>poland</v>
      </c>
      <c r="D426" t="str">
        <f>Tabla1[[#This Row],[PAIS]]</f>
        <v>poland</v>
      </c>
      <c r="E426" s="8" t="str">
        <f ca="1">IF(VLOOKUP(Tabla1[[#This Row],[DIVISION]],$H$2:$I$44,2)="X","SI","NO")</f>
        <v>SI</v>
      </c>
    </row>
    <row r="427" spans="1:5" x14ac:dyDescent="0.3">
      <c r="A427" t="str">
        <f>MID(Tabla1[[#This Row],[ENLACE]],FIND("~",SUBSTITUTE(Tabla1[[#This Row],[ENLACE]],"/","~",2))+1,LEN(Tabla1[[#This Row],[ENLACE]]))</f>
        <v>wisla-krakow</v>
      </c>
      <c r="B427" s="2" t="s">
        <v>584</v>
      </c>
      <c r="C427" t="str">
        <f>_xlfn.TEXTBEFORE(_xlfn.TEXTAFTER(Tabla1[[#This Row],[ENLACE]],"/",1),"/")</f>
        <v>poland</v>
      </c>
      <c r="D427" t="str">
        <f>Tabla1[[#This Row],[PAIS]]</f>
        <v>poland</v>
      </c>
      <c r="E427" s="8" t="str">
        <f ca="1">IF(VLOOKUP(Tabla1[[#This Row],[DIVISION]],$H$2:$I$44,2)="X","SI","NO")</f>
        <v>SI</v>
      </c>
    </row>
    <row r="428" spans="1:5" x14ac:dyDescent="0.3">
      <c r="A428" t="str">
        <f>MID(Tabla1[[#This Row],[ENLACE]],FIND("~",SUBSTITUTE(Tabla1[[#This Row],[ENLACE]],"/","~",2))+1,LEN(Tabla1[[#This Row],[ENLACE]]))</f>
        <v>wisla-plock</v>
      </c>
      <c r="B428" s="5" t="s">
        <v>342</v>
      </c>
      <c r="C428" t="str">
        <f>_xlfn.TEXTBEFORE(_xlfn.TEXTAFTER(Tabla1[[#This Row],[ENLACE]],"/",1),"/")</f>
        <v>poland</v>
      </c>
      <c r="D428" t="str">
        <f>Tabla1[[#This Row],[PAIS]]</f>
        <v>poland</v>
      </c>
      <c r="E428" s="8" t="str">
        <f ca="1">IF(VLOOKUP(Tabla1[[#This Row],[DIVISION]],$H$2:$I$44,2)="X","SI","NO")</f>
        <v>SI</v>
      </c>
    </row>
    <row r="429" spans="1:5" x14ac:dyDescent="0.3">
      <c r="A429" t="str">
        <f>MID(Tabla1[[#This Row],[ENLACE]],FIND("~",SUBSTITUTE(Tabla1[[#This Row],[ENLACE]],"/","~",2))+1,LEN(Tabla1[[#This Row],[ENLACE]]))</f>
        <v>zaglebie-lubin</v>
      </c>
      <c r="B429" s="2" t="s">
        <v>343</v>
      </c>
      <c r="C429" t="str">
        <f>_xlfn.TEXTBEFORE(_xlfn.TEXTAFTER(Tabla1[[#This Row],[ENLACE]],"/",1),"/")</f>
        <v>poland</v>
      </c>
      <c r="D429" t="str">
        <f>Tabla1[[#This Row],[PAIS]]</f>
        <v>poland</v>
      </c>
      <c r="E429" s="8" t="str">
        <f ca="1">IF(VLOOKUP(Tabla1[[#This Row],[DIVISION]],$H$2:$I$44,2)="X","SI","NO")</f>
        <v>SI</v>
      </c>
    </row>
    <row r="430" spans="1:5" x14ac:dyDescent="0.3">
      <c r="A430" t="str">
        <f>MID(Tabla1[[#This Row],[ENLACE]],FIND("~",SUBSTITUTE(Tabla1[[#This Row],[ENLACE]],"/","~",2))+1,LEN(Tabla1[[#This Row],[ENLACE]]))</f>
        <v>academico-de-viseu-fc</v>
      </c>
      <c r="B430" s="5" t="s">
        <v>607</v>
      </c>
      <c r="C430" t="str">
        <f>_xlfn.TEXTBEFORE(_xlfn.TEXTAFTER(Tabla1[[#This Row],[ENLACE]],"/",1),"/")</f>
        <v>portugal</v>
      </c>
      <c r="D430" t="str">
        <f>Tabla1[[#This Row],[PAIS]]</f>
        <v>portugal</v>
      </c>
      <c r="E430" s="8" t="str">
        <f ca="1">IF(VLOOKUP(Tabla1[[#This Row],[DIVISION]],$H$2:$I$44,2)="X","SI","NO")</f>
        <v>SI</v>
      </c>
    </row>
    <row r="431" spans="1:5" x14ac:dyDescent="0.3">
      <c r="A431" t="str">
        <f>MID(Tabla1[[#This Row],[ENLACE]],FIND("~",SUBSTITUTE(Tabla1[[#This Row],[ENLACE]],"/","~",2))+1,LEN(Tabla1[[#This Row],[ENLACE]]))</f>
        <v>fc-alverca</v>
      </c>
      <c r="B431" s="2" t="s">
        <v>344</v>
      </c>
      <c r="C431" t="str">
        <f>_xlfn.TEXTBEFORE(_xlfn.TEXTAFTER(Tabla1[[#This Row],[ENLACE]],"/",1),"/")</f>
        <v>portugal</v>
      </c>
      <c r="D431" t="str">
        <f>Tabla1[[#This Row],[PAIS]]</f>
        <v>portugal</v>
      </c>
      <c r="E431" s="8" t="str">
        <f ca="1">IF(VLOOKUP(Tabla1[[#This Row],[DIVISION]],$H$2:$I$44,2)="X","SI","NO")</f>
        <v>SI</v>
      </c>
    </row>
    <row r="432" spans="1:5" x14ac:dyDescent="0.3">
      <c r="A432" t="str">
        <f>MID(Tabla1[[#This Row],[ENLACE]],FIND("~",SUBSTITUTE(Tabla1[[#This Row],[ENLACE]],"/","~",2))+1,LEN(Tabla1[[#This Row],[ENLACE]]))</f>
        <v>fc-arouca</v>
      </c>
      <c r="B432" s="5" t="s">
        <v>345</v>
      </c>
      <c r="C432" t="str">
        <f>_xlfn.TEXTBEFORE(_xlfn.TEXTAFTER(Tabla1[[#This Row],[ENLACE]],"/",1),"/")</f>
        <v>portugal</v>
      </c>
      <c r="D432" t="str">
        <f>Tabla1[[#This Row],[PAIS]]</f>
        <v>portugal</v>
      </c>
      <c r="E432" s="8" t="str">
        <f ca="1">IF(VLOOKUP(Tabla1[[#This Row],[DIVISION]],$H$2:$I$44,2)="X","SI","NO")</f>
        <v>SI</v>
      </c>
    </row>
    <row r="433" spans="1:5" x14ac:dyDescent="0.3">
      <c r="A433" t="str">
        <f>MID(Tabla1[[#This Row],[ENLACE]],FIND("~",SUBSTITUTE(Tabla1[[#This Row],[ENLACE]],"/","~",2))+1,LEN(Tabla1[[#This Row],[ENLACE]]))</f>
        <v>benfica</v>
      </c>
      <c r="B433" s="2" t="s">
        <v>346</v>
      </c>
      <c r="C433" t="str">
        <f>_xlfn.TEXTBEFORE(_xlfn.TEXTAFTER(Tabla1[[#This Row],[ENLACE]],"/",1),"/")</f>
        <v>portugal</v>
      </c>
      <c r="D433" t="str">
        <f>Tabla1[[#This Row],[PAIS]]</f>
        <v>portugal</v>
      </c>
      <c r="E433" s="8" t="str">
        <f ca="1">IF(VLOOKUP(Tabla1[[#This Row],[DIVISION]],$H$2:$I$44,2)="X","SI","NO")</f>
        <v>SI</v>
      </c>
    </row>
    <row r="434" spans="1:5" x14ac:dyDescent="0.3">
      <c r="A434" t="str">
        <f>MID(Tabla1[[#This Row],[ENLACE]],FIND("~",SUBSTITUTE(Tabla1[[#This Row],[ENLACE]],"/","~",2))+1,LEN(Tabla1[[#This Row],[ENLACE]]))</f>
        <v>braga</v>
      </c>
      <c r="B434" s="5" t="s">
        <v>347</v>
      </c>
      <c r="C434" t="str">
        <f>_xlfn.TEXTBEFORE(_xlfn.TEXTAFTER(Tabla1[[#This Row],[ENLACE]],"/",1),"/")</f>
        <v>portugal</v>
      </c>
      <c r="D434" t="str">
        <f>Tabla1[[#This Row],[PAIS]]</f>
        <v>portugal</v>
      </c>
      <c r="E434" s="8" t="str">
        <f ca="1">IF(VLOOKUP(Tabla1[[#This Row],[DIVISION]],$H$2:$I$44,2)="X","SI","NO")</f>
        <v>SI</v>
      </c>
    </row>
    <row r="435" spans="1:5" x14ac:dyDescent="0.3">
      <c r="A435" t="str">
        <f>MID(Tabla1[[#This Row],[ENLACE]],FIND("~",SUBSTITUTE(Tabla1[[#This Row],[ENLACE]],"/","~",2))+1,LEN(Tabla1[[#This Row],[ENLACE]]))</f>
        <v>casa-pia-ac</v>
      </c>
      <c r="B435" s="2" t="s">
        <v>348</v>
      </c>
      <c r="C435" t="str">
        <f>_xlfn.TEXTBEFORE(_xlfn.TEXTAFTER(Tabla1[[#This Row],[ENLACE]],"/",1),"/")</f>
        <v>portugal</v>
      </c>
      <c r="D435" t="str">
        <f>Tabla1[[#This Row],[PAIS]]</f>
        <v>portugal</v>
      </c>
      <c r="E435" s="8" t="str">
        <f ca="1">IF(VLOOKUP(Tabla1[[#This Row],[DIVISION]],$H$2:$I$44,2)="X","SI","NO")</f>
        <v>SI</v>
      </c>
    </row>
    <row r="436" spans="1:5" x14ac:dyDescent="0.3">
      <c r="A436" t="str">
        <f>MID(Tabla1[[#This Row],[ENLACE]],FIND("~",SUBSTITUTE(Tabla1[[#This Row],[ENLACE]],"/","~",2))+1,LEN(Tabla1[[#This Row],[ENLACE]]))</f>
        <v>gd-estoril-praia</v>
      </c>
      <c r="B436" s="5" t="s">
        <v>349</v>
      </c>
      <c r="C436" t="str">
        <f>_xlfn.TEXTBEFORE(_xlfn.TEXTAFTER(Tabla1[[#This Row],[ENLACE]],"/",1),"/")</f>
        <v>portugal</v>
      </c>
      <c r="D436" t="str">
        <f>Tabla1[[#This Row],[PAIS]]</f>
        <v>portugal</v>
      </c>
      <c r="E436" s="8" t="str">
        <f ca="1">IF(VLOOKUP(Tabla1[[#This Row],[DIVISION]],$H$2:$I$44,2)="X","SI","NO")</f>
        <v>SI</v>
      </c>
    </row>
    <row r="437" spans="1:5" x14ac:dyDescent="0.3">
      <c r="A437" t="str">
        <f>MID(Tabla1[[#This Row],[ENLACE]],FIND("~",SUBSTITUTE(Tabla1[[#This Row],[ENLACE]],"/","~",2))+1,LEN(Tabla1[[#This Row],[ENLACE]]))</f>
        <v>cf-estrela-da-amadora</v>
      </c>
      <c r="B437" s="2" t="s">
        <v>350</v>
      </c>
      <c r="C437" t="str">
        <f>_xlfn.TEXTBEFORE(_xlfn.TEXTAFTER(Tabla1[[#This Row],[ENLACE]],"/",1),"/")</f>
        <v>portugal</v>
      </c>
      <c r="D437" t="str">
        <f>Tabla1[[#This Row],[PAIS]]</f>
        <v>portugal</v>
      </c>
      <c r="E437" s="8" t="str">
        <f ca="1">IF(VLOOKUP(Tabla1[[#This Row],[DIVISION]],$H$2:$I$44,2)="X","SI","NO")</f>
        <v>SI</v>
      </c>
    </row>
    <row r="438" spans="1:5" x14ac:dyDescent="0.3">
      <c r="A438" t="str">
        <f>MID(Tabla1[[#This Row],[ENLACE]],FIND("~",SUBSTITUTE(Tabla1[[#This Row],[ENLACE]],"/","~",2))+1,LEN(Tabla1[[#This Row],[ENLACE]]))</f>
        <v>famalicao</v>
      </c>
      <c r="B438" s="5" t="s">
        <v>351</v>
      </c>
      <c r="C438" t="str">
        <f>_xlfn.TEXTBEFORE(_xlfn.TEXTAFTER(Tabla1[[#This Row],[ENLACE]],"/",1),"/")</f>
        <v>portugal</v>
      </c>
      <c r="D438" t="str">
        <f>Tabla1[[#This Row],[PAIS]]</f>
        <v>portugal</v>
      </c>
      <c r="E438" s="8" t="str">
        <f ca="1">IF(VLOOKUP(Tabla1[[#This Row],[DIVISION]],$H$2:$I$44,2)="X","SI","NO")</f>
        <v>SI</v>
      </c>
    </row>
    <row r="439" spans="1:5" x14ac:dyDescent="0.3">
      <c r="A439" t="str">
        <f>MID(Tabla1[[#This Row],[ENLACE]],FIND("~",SUBSTITUTE(Tabla1[[#This Row],[ENLACE]],"/","~",2))+1,LEN(Tabla1[[#This Row],[ENLACE]]))</f>
        <v>fc-porto</v>
      </c>
      <c r="B439" s="2" t="s">
        <v>352</v>
      </c>
      <c r="C439" t="str">
        <f>_xlfn.TEXTBEFORE(_xlfn.TEXTAFTER(Tabla1[[#This Row],[ENLACE]],"/",1),"/")</f>
        <v>portugal</v>
      </c>
      <c r="D439" t="str">
        <f>Tabla1[[#This Row],[PAIS]]</f>
        <v>portugal</v>
      </c>
      <c r="E439" s="8" t="str">
        <f ca="1">IF(VLOOKUP(Tabla1[[#This Row],[DIVISION]],$H$2:$I$44,2)="X","SI","NO")</f>
        <v>SI</v>
      </c>
    </row>
    <row r="440" spans="1:5" x14ac:dyDescent="0.3">
      <c r="A440" t="str">
        <f>MID(Tabla1[[#This Row],[ENLACE]],FIND("~",SUBSTITUTE(Tabla1[[#This Row],[ENLACE]],"/","~",2))+1,LEN(Tabla1[[#This Row],[ENLACE]]))</f>
        <v>gil-vicente</v>
      </c>
      <c r="B440" s="5" t="s">
        <v>353</v>
      </c>
      <c r="C440" t="str">
        <f>_xlfn.TEXTBEFORE(_xlfn.TEXTAFTER(Tabla1[[#This Row],[ENLACE]],"/",1),"/")</f>
        <v>portugal</v>
      </c>
      <c r="D440" t="str">
        <f>Tabla1[[#This Row],[PAIS]]</f>
        <v>portugal</v>
      </c>
      <c r="E440" s="8" t="str">
        <f ca="1">IF(VLOOKUP(Tabla1[[#This Row],[DIVISION]],$H$2:$I$44,2)="X","SI","NO")</f>
        <v>SI</v>
      </c>
    </row>
    <row r="441" spans="1:5" x14ac:dyDescent="0.3">
      <c r="A441" t="str">
        <f>MID(Tabla1[[#This Row],[ENLACE]],FIND("~",SUBSTITUTE(Tabla1[[#This Row],[ENLACE]],"/","~",2))+1,LEN(Tabla1[[#This Row],[ENLACE]]))</f>
        <v>vitoria-de-guimaraes</v>
      </c>
      <c r="B441" s="2" t="s">
        <v>354</v>
      </c>
      <c r="C441" t="str">
        <f>_xlfn.TEXTBEFORE(_xlfn.TEXTAFTER(Tabla1[[#This Row],[ENLACE]],"/",1),"/")</f>
        <v>portugal</v>
      </c>
      <c r="D441" t="str">
        <f>Tabla1[[#This Row],[PAIS]]</f>
        <v>portugal</v>
      </c>
      <c r="E441" s="8" t="str">
        <f ca="1">IF(VLOOKUP(Tabla1[[#This Row],[DIVISION]],$H$2:$I$44,2)="X","SI","NO")</f>
        <v>SI</v>
      </c>
    </row>
    <row r="442" spans="1:5" x14ac:dyDescent="0.3">
      <c r="A442" t="str">
        <f>MID(Tabla1[[#This Row],[ENLACE]],FIND("~",SUBSTITUTE(Tabla1[[#This Row],[ENLACE]],"/","~",2))+1,LEN(Tabla1[[#This Row],[ENLACE]]))</f>
        <v>maritimo</v>
      </c>
      <c r="B442" s="5" t="s">
        <v>608</v>
      </c>
      <c r="C442" t="str">
        <f>_xlfn.TEXTBEFORE(_xlfn.TEXTAFTER(Tabla1[[#This Row],[ENLACE]],"/",1),"/")</f>
        <v>portugal</v>
      </c>
      <c r="D442" t="str">
        <f>Tabla1[[#This Row],[PAIS]]</f>
        <v>portugal</v>
      </c>
      <c r="E442" s="8" t="str">
        <f ca="1">IF(VLOOKUP(Tabla1[[#This Row],[DIVISION]],$H$2:$I$44,2)="X","SI","NO")</f>
        <v>SI</v>
      </c>
    </row>
    <row r="443" spans="1:5" x14ac:dyDescent="0.3">
      <c r="A443" t="str">
        <f>MID(Tabla1[[#This Row],[ENLACE]],FIND("~",SUBSTITUTE(Tabla1[[#This Row],[ENLACE]],"/","~",2))+1,LEN(Tabla1[[#This Row],[ENLACE]]))</f>
        <v>moreirense-fc</v>
      </c>
      <c r="B443" s="2" t="s">
        <v>355</v>
      </c>
      <c r="C443" t="str">
        <f>_xlfn.TEXTBEFORE(_xlfn.TEXTAFTER(Tabla1[[#This Row],[ENLACE]],"/",1),"/")</f>
        <v>portugal</v>
      </c>
      <c r="D443" t="str">
        <f>Tabla1[[#This Row],[PAIS]]</f>
        <v>portugal</v>
      </c>
      <c r="E443" s="8" t="str">
        <f ca="1">IF(VLOOKUP(Tabla1[[#This Row],[DIVISION]],$H$2:$I$44,2)="X","SI","NO")</f>
        <v>SI</v>
      </c>
    </row>
    <row r="444" spans="1:5" x14ac:dyDescent="0.3">
      <c r="A444" t="str">
        <f>MID(Tabla1[[#This Row],[ENLACE]],FIND("~",SUBSTITUTE(Tabla1[[#This Row],[ENLACE]],"/","~",2))+1,LEN(Tabla1[[#This Row],[ENLACE]]))</f>
        <v>cd-nacional</v>
      </c>
      <c r="B444" s="5" t="s">
        <v>356</v>
      </c>
      <c r="C444" t="str">
        <f>_xlfn.TEXTBEFORE(_xlfn.TEXTAFTER(Tabla1[[#This Row],[ENLACE]],"/",1),"/")</f>
        <v>portugal</v>
      </c>
      <c r="D444" t="str">
        <f>Tabla1[[#This Row],[PAIS]]</f>
        <v>portugal</v>
      </c>
      <c r="E444" s="8" t="str">
        <f ca="1">IF(VLOOKUP(Tabla1[[#This Row],[DIVISION]],$H$2:$I$44,2)="X","SI","NO")</f>
        <v>SI</v>
      </c>
    </row>
    <row r="445" spans="1:5" x14ac:dyDescent="0.3">
      <c r="A445" t="str">
        <f>MID(Tabla1[[#This Row],[ENLACE]],FIND("~",SUBSTITUTE(Tabla1[[#This Row],[ENLACE]],"/","~",2))+1,LEN(Tabla1[[#This Row],[ENLACE]]))</f>
        <v>rio-ave-fc</v>
      </c>
      <c r="B445" s="2" t="s">
        <v>357</v>
      </c>
      <c r="C445" t="str">
        <f>_xlfn.TEXTBEFORE(_xlfn.TEXTAFTER(Tabla1[[#This Row],[ENLACE]],"/",1),"/")</f>
        <v>portugal</v>
      </c>
      <c r="D445" t="str">
        <f>Tabla1[[#This Row],[PAIS]]</f>
        <v>portugal</v>
      </c>
      <c r="E445" s="8" t="str">
        <f ca="1">IF(VLOOKUP(Tabla1[[#This Row],[DIVISION]],$H$2:$I$44,2)="X","SI","NO")</f>
        <v>SI</v>
      </c>
    </row>
    <row r="446" spans="1:5" x14ac:dyDescent="0.3">
      <c r="A446" t="str">
        <f>MID(Tabla1[[#This Row],[ENLACE]],FIND("~",SUBSTITUTE(Tabla1[[#This Row],[ENLACE]],"/","~",2))+1,LEN(Tabla1[[#This Row],[ENLACE]]))</f>
        <v>santa-clara</v>
      </c>
      <c r="B446" s="5" t="s">
        <v>358</v>
      </c>
      <c r="C446" t="str">
        <f>_xlfn.TEXTBEFORE(_xlfn.TEXTAFTER(Tabla1[[#This Row],[ENLACE]],"/",1),"/")</f>
        <v>portugal</v>
      </c>
      <c r="D446" t="str">
        <f>Tabla1[[#This Row],[PAIS]]</f>
        <v>portugal</v>
      </c>
      <c r="E446" s="8" t="str">
        <f ca="1">IF(VLOOKUP(Tabla1[[#This Row],[DIVISION]],$H$2:$I$44,2)="X","SI","NO")</f>
        <v>SI</v>
      </c>
    </row>
    <row r="447" spans="1:5" x14ac:dyDescent="0.3">
      <c r="A447" t="str">
        <f>MID(Tabla1[[#This Row],[ENLACE]],FIND("~",SUBSTITUTE(Tabla1[[#This Row],[ENLACE]],"/","~",2))+1,LEN(Tabla1[[#This Row],[ENLACE]]))</f>
        <v>sporting-cp</v>
      </c>
      <c r="B447" s="2" t="s">
        <v>359</v>
      </c>
      <c r="C447" t="str">
        <f>_xlfn.TEXTBEFORE(_xlfn.TEXTAFTER(Tabla1[[#This Row],[ENLACE]],"/",1),"/")</f>
        <v>portugal</v>
      </c>
      <c r="D447" t="str">
        <f>Tabla1[[#This Row],[PAIS]]</f>
        <v>portugal</v>
      </c>
      <c r="E447" s="8" t="str">
        <f ca="1">IF(VLOOKUP(Tabla1[[#This Row],[DIVISION]],$H$2:$I$44,2)="X","SI","NO")</f>
        <v>SI</v>
      </c>
    </row>
    <row r="448" spans="1:5" x14ac:dyDescent="0.3">
      <c r="A448" t="str">
        <f>MID(Tabla1[[#This Row],[ENLACE]],FIND("~",SUBSTITUTE(Tabla1[[#This Row],[ENLACE]],"/","~",2))+1,LEN(Tabla1[[#This Row],[ENLACE]]))</f>
        <v>fc-botosani</v>
      </c>
      <c r="B448" s="5" t="s">
        <v>360</v>
      </c>
      <c r="C448" t="str">
        <f>_xlfn.TEXTBEFORE(_xlfn.TEXTAFTER(Tabla1[[#This Row],[ENLACE]],"/",1),"/")</f>
        <v>romania</v>
      </c>
      <c r="D448" t="str">
        <f>Tabla1[[#This Row],[PAIS]]</f>
        <v>romania</v>
      </c>
      <c r="E448" s="8" t="str">
        <f ca="1">IF(VLOOKUP(Tabla1[[#This Row],[DIVISION]],$H$2:$I$44,2)="X","SI","NO")</f>
        <v>SI</v>
      </c>
    </row>
    <row r="449" spans="1:5" x14ac:dyDescent="0.3">
      <c r="A449" t="str">
        <f>MID(Tabla1[[#This Row],[ENLACE]],FIND("~",SUBSTITUTE(Tabla1[[#This Row],[ENLACE]],"/","~",2))+1,LEN(Tabla1[[#This Row],[ENLACE]]))</f>
        <v>cfr-cluj</v>
      </c>
      <c r="B449" s="2" t="s">
        <v>361</v>
      </c>
      <c r="C449" t="str">
        <f>_xlfn.TEXTBEFORE(_xlfn.TEXTAFTER(Tabla1[[#This Row],[ENLACE]],"/",1),"/")</f>
        <v>romania</v>
      </c>
      <c r="D449" t="str">
        <f>Tabla1[[#This Row],[PAIS]]</f>
        <v>romania</v>
      </c>
      <c r="E449" s="8" t="str">
        <f ca="1">IF(VLOOKUP(Tabla1[[#This Row],[DIVISION]],$H$2:$I$44,2)="X","SI","NO")</f>
        <v>SI</v>
      </c>
    </row>
    <row r="450" spans="1:5" x14ac:dyDescent="0.3">
      <c r="A450" t="str">
        <f>MID(Tabla1[[#This Row],[ENLACE]],FIND("~",SUBSTITUTE(Tabla1[[#This Row],[ENLACE]],"/","~",2))+1,LEN(Tabla1[[#This Row],[ENLACE]]))</f>
        <v>corvinul-hunedoara</v>
      </c>
      <c r="B450" s="5" t="s">
        <v>585</v>
      </c>
      <c r="C450" t="str">
        <f>_xlfn.TEXTBEFORE(_xlfn.TEXTAFTER(Tabla1[[#This Row],[ENLACE]],"/",1),"/")</f>
        <v>romania</v>
      </c>
      <c r="D450" t="str">
        <f>Tabla1[[#This Row],[PAIS]]</f>
        <v>romania</v>
      </c>
      <c r="E450" s="8" t="str">
        <f ca="1">IF(VLOOKUP(Tabla1[[#This Row],[DIVISION]],$H$2:$I$44,2)="X","SI","NO")</f>
        <v>SI</v>
      </c>
    </row>
    <row r="451" spans="1:5" x14ac:dyDescent="0.3">
      <c r="A451" t="str">
        <f>MID(Tabla1[[#This Row],[ENLACE]],FIND("~",SUBSTITUTE(Tabla1[[#This Row],[ENLACE]],"/","~",2))+1,LEN(Tabla1[[#This Row],[ENLACE]]))</f>
        <v>fk-miercurea-ciuc</v>
      </c>
      <c r="B451" s="2" t="s">
        <v>362</v>
      </c>
      <c r="C451" t="str">
        <f>_xlfn.TEXTBEFORE(_xlfn.TEXTAFTER(Tabla1[[#This Row],[ENLACE]],"/",1),"/")</f>
        <v>romania</v>
      </c>
      <c r="D451" t="str">
        <f>Tabla1[[#This Row],[PAIS]]</f>
        <v>romania</v>
      </c>
      <c r="E451" s="8" t="str">
        <f ca="1">IF(VLOOKUP(Tabla1[[#This Row],[DIVISION]],$H$2:$I$44,2)="X","SI","NO")</f>
        <v>SI</v>
      </c>
    </row>
    <row r="452" spans="1:5" x14ac:dyDescent="0.3">
      <c r="A452" t="str">
        <f>MID(Tabla1[[#This Row],[ENLACE]],FIND("~",SUBSTITUTE(Tabla1[[#This Row],[ENLACE]],"/","~",2))+1,LEN(Tabla1[[#This Row],[ENLACE]]))</f>
        <v>fc-dinamo-bucuresti</v>
      </c>
      <c r="B452" s="5" t="s">
        <v>363</v>
      </c>
      <c r="C452" t="str">
        <f>_xlfn.TEXTBEFORE(_xlfn.TEXTAFTER(Tabla1[[#This Row],[ENLACE]],"/",1),"/")</f>
        <v>romania</v>
      </c>
      <c r="D452" t="str">
        <f>Tabla1[[#This Row],[PAIS]]</f>
        <v>romania</v>
      </c>
      <c r="E452" s="8" t="str">
        <f ca="1">IF(VLOOKUP(Tabla1[[#This Row],[DIVISION]],$H$2:$I$44,2)="X","SI","NO")</f>
        <v>SI</v>
      </c>
    </row>
    <row r="453" spans="1:5" x14ac:dyDescent="0.3">
      <c r="A453" t="str">
        <f>MID(Tabla1[[#This Row],[ENLACE]],FIND("~",SUBSTITUTE(Tabla1[[#This Row],[ENLACE]],"/","~",2))+1,LEN(Tabla1[[#This Row],[ENLACE]]))</f>
        <v>fc-farul-constanta</v>
      </c>
      <c r="B453" s="2" t="s">
        <v>364</v>
      </c>
      <c r="C453" t="str">
        <f>_xlfn.TEXTBEFORE(_xlfn.TEXTAFTER(Tabla1[[#This Row],[ENLACE]],"/",1),"/")</f>
        <v>romania</v>
      </c>
      <c r="D453" t="str">
        <f>Tabla1[[#This Row],[PAIS]]</f>
        <v>romania</v>
      </c>
      <c r="E453" s="8" t="str">
        <f ca="1">IF(VLOOKUP(Tabla1[[#This Row],[DIVISION]],$H$2:$I$44,2)="X","SI","NO")</f>
        <v>SI</v>
      </c>
    </row>
    <row r="454" spans="1:5" x14ac:dyDescent="0.3">
      <c r="A454" t="str">
        <f>MID(Tabla1[[#This Row],[ENLACE]],FIND("~",SUBSTITUTE(Tabla1[[#This Row],[ENLACE]],"/","~",2))+1,LEN(Tabla1[[#This Row],[ENLACE]]))</f>
        <v>fc-arges-pitesti</v>
      </c>
      <c r="B454" s="5" t="s">
        <v>365</v>
      </c>
      <c r="C454" t="str">
        <f>_xlfn.TEXTBEFORE(_xlfn.TEXTAFTER(Tabla1[[#This Row],[ENLACE]],"/",1),"/")</f>
        <v>romania</v>
      </c>
      <c r="D454" t="str">
        <f>Tabla1[[#This Row],[PAIS]]</f>
        <v>romania</v>
      </c>
      <c r="E454" s="8" t="str">
        <f ca="1">IF(VLOOKUP(Tabla1[[#This Row],[DIVISION]],$H$2:$I$44,2)="X","SI","NO")</f>
        <v>SI</v>
      </c>
    </row>
    <row r="455" spans="1:5" x14ac:dyDescent="0.3">
      <c r="A455" t="str">
        <f>MID(Tabla1[[#This Row],[ENLACE]],FIND("~",SUBSTITUTE(Tabla1[[#This Row],[ENLACE]],"/","~",2))+1,LEN(Tabla1[[#This Row],[ENLACE]]))</f>
        <v>fc-rapid-bucuresti</v>
      </c>
      <c r="B455" s="2" t="s">
        <v>366</v>
      </c>
      <c r="C455" t="str">
        <f>_xlfn.TEXTBEFORE(_xlfn.TEXTAFTER(Tabla1[[#This Row],[ENLACE]],"/",1),"/")</f>
        <v>romania</v>
      </c>
      <c r="D455" t="str">
        <f>Tabla1[[#This Row],[PAIS]]</f>
        <v>romania</v>
      </c>
      <c r="E455" s="8" t="str">
        <f ca="1">IF(VLOOKUP(Tabla1[[#This Row],[DIVISION]],$H$2:$I$44,2)="X","SI","NO")</f>
        <v>SI</v>
      </c>
    </row>
    <row r="456" spans="1:5" x14ac:dyDescent="0.3">
      <c r="A456" t="str">
        <f>MID(Tabla1[[#This Row],[ENLACE]],FIND("~",SUBSTITUTE(Tabla1[[#This Row],[ENLACE]],"/","~",2))+1,LEN(Tabla1[[#This Row],[ENLACE]]))</f>
        <v>fc-voluntari</v>
      </c>
      <c r="B456" s="5" t="s">
        <v>586</v>
      </c>
      <c r="C456" t="str">
        <f>_xlfn.TEXTBEFORE(_xlfn.TEXTAFTER(Tabla1[[#This Row],[ENLACE]],"/",1),"/")</f>
        <v>romania</v>
      </c>
      <c r="D456" t="str">
        <f>Tabla1[[#This Row],[PAIS]]</f>
        <v>romania</v>
      </c>
      <c r="E456" s="8" t="str">
        <f ca="1">IF(VLOOKUP(Tabla1[[#This Row],[DIVISION]],$H$2:$I$44,2)="X","SI","NO")</f>
        <v>SI</v>
      </c>
    </row>
    <row r="457" spans="1:5" x14ac:dyDescent="0.3">
      <c r="A457" t="str">
        <f>MID(Tabla1[[#This Row],[ENLACE]],FIND("~",SUBSTITUTE(Tabla1[[#This Row],[ENLACE]],"/","~",2))+1,LEN(Tabla1[[#This Row],[ENLACE]]))</f>
        <v>fcsb</v>
      </c>
      <c r="B457" s="2" t="s">
        <v>367</v>
      </c>
      <c r="C457" t="str">
        <f>_xlfn.TEXTBEFORE(_xlfn.TEXTAFTER(Tabla1[[#This Row],[ENLACE]],"/",1),"/")</f>
        <v>romania</v>
      </c>
      <c r="D457" t="str">
        <f>Tabla1[[#This Row],[PAIS]]</f>
        <v>romania</v>
      </c>
      <c r="E457" s="8" t="str">
        <f ca="1">IF(VLOOKUP(Tabla1[[#This Row],[DIVISION]],$H$2:$I$44,2)="X","SI","NO")</f>
        <v>SI</v>
      </c>
    </row>
    <row r="458" spans="1:5" x14ac:dyDescent="0.3">
      <c r="A458" t="str">
        <f>MID(Tabla1[[#This Row],[ENLACE]],FIND("~",SUBSTITUTE(Tabla1[[#This Row],[ENLACE]],"/","~",2))+1,LEN(Tabla1[[#This Row],[ENLACE]]))</f>
        <v>asc-otelul-galati</v>
      </c>
      <c r="B458" s="5" t="s">
        <v>368</v>
      </c>
      <c r="C458" t="str">
        <f>_xlfn.TEXTBEFORE(_xlfn.TEXTAFTER(Tabla1[[#This Row],[ENLACE]],"/",1),"/")</f>
        <v>romania</v>
      </c>
      <c r="D458" t="str">
        <f>Tabla1[[#This Row],[PAIS]]</f>
        <v>romania</v>
      </c>
      <c r="E458" s="8" t="str">
        <f ca="1">IF(VLOOKUP(Tabla1[[#This Row],[DIVISION]],$H$2:$I$44,2)="X","SI","NO")</f>
        <v>SI</v>
      </c>
    </row>
    <row r="459" spans="1:5" x14ac:dyDescent="0.3">
      <c r="A459" t="str">
        <f>MID(Tabla1[[#This Row],[ENLACE]],FIND("~",SUBSTITUTE(Tabla1[[#This Row],[ENLACE]],"/","~",2))+1,LEN(Tabla1[[#This Row],[ENLACE]]))</f>
        <v>fc-petrolul-ploiesti</v>
      </c>
      <c r="B459" s="2" t="s">
        <v>369</v>
      </c>
      <c r="C459" t="str">
        <f>_xlfn.TEXTBEFORE(_xlfn.TEXTAFTER(Tabla1[[#This Row],[ENLACE]],"/",1),"/")</f>
        <v>romania</v>
      </c>
      <c r="D459" t="str">
        <f>Tabla1[[#This Row],[PAIS]]</f>
        <v>romania</v>
      </c>
      <c r="E459" s="8" t="str">
        <f ca="1">IF(VLOOKUP(Tabla1[[#This Row],[DIVISION]],$H$2:$I$44,2)="X","SI","NO")</f>
        <v>SI</v>
      </c>
    </row>
    <row r="460" spans="1:5" x14ac:dyDescent="0.3">
      <c r="A460" t="str">
        <f>MID(Tabla1[[#This Row],[ENLACE]],FIND("~",SUBSTITUTE(Tabla1[[#This Row],[ENLACE]],"/","~",2))+1,LEN(Tabla1[[#This Row],[ENLACE]]))</f>
        <v>sepsi-osk-sftantu-gheorghe</v>
      </c>
      <c r="B460" s="5" t="s">
        <v>587</v>
      </c>
      <c r="C460" t="str">
        <f>_xlfn.TEXTBEFORE(_xlfn.TEXTAFTER(Tabla1[[#This Row],[ENLACE]],"/",1),"/")</f>
        <v>romania</v>
      </c>
      <c r="D460" t="str">
        <f>Tabla1[[#This Row],[PAIS]]</f>
        <v>romania</v>
      </c>
      <c r="E460" s="8" t="str">
        <f ca="1">IF(VLOOKUP(Tabla1[[#This Row],[DIVISION]],$H$2:$I$44,2)="X","SI","NO")</f>
        <v>SI</v>
      </c>
    </row>
    <row r="461" spans="1:5" x14ac:dyDescent="0.3">
      <c r="A461" t="str">
        <f>MID(Tabla1[[#This Row],[ENLACE]],FIND("~",SUBSTITUTE(Tabla1[[#This Row],[ENLACE]],"/","~",2))+1,LEN(Tabla1[[#This Row],[ENLACE]]))</f>
        <v>fc-universitatea-cluj</v>
      </c>
      <c r="B461" s="2" t="s">
        <v>370</v>
      </c>
      <c r="C461" t="str">
        <f>_xlfn.TEXTBEFORE(_xlfn.TEXTAFTER(Tabla1[[#This Row],[ENLACE]],"/",1),"/")</f>
        <v>romania</v>
      </c>
      <c r="D461" t="str">
        <f>Tabla1[[#This Row],[PAIS]]</f>
        <v>romania</v>
      </c>
      <c r="E461" s="8" t="str">
        <f ca="1">IF(VLOOKUP(Tabla1[[#This Row],[DIVISION]],$H$2:$I$44,2)="X","SI","NO")</f>
        <v>SI</v>
      </c>
    </row>
    <row r="462" spans="1:5" x14ac:dyDescent="0.3">
      <c r="A462" t="str">
        <f>MID(Tabla1[[#This Row],[ENLACE]],FIND("~",SUBSTITUTE(Tabla1[[#This Row],[ENLACE]],"/","~",2))+1,LEN(Tabla1[[#This Row],[ENLACE]]))</f>
        <v>cs-universitatea-craiova</v>
      </c>
      <c r="B462" s="5" t="s">
        <v>371</v>
      </c>
      <c r="C462" t="str">
        <f>_xlfn.TEXTBEFORE(_xlfn.TEXTAFTER(Tabla1[[#This Row],[ENLACE]],"/",1),"/")</f>
        <v>romania</v>
      </c>
      <c r="D462" t="str">
        <f>Tabla1[[#This Row],[PAIS]]</f>
        <v>romania</v>
      </c>
      <c r="E462" s="8" t="str">
        <f ca="1">IF(VLOOKUP(Tabla1[[#This Row],[DIVISION]],$H$2:$I$44,2)="X","SI","NO")</f>
        <v>SI</v>
      </c>
    </row>
    <row r="463" spans="1:5" x14ac:dyDescent="0.3">
      <c r="A463" t="str">
        <f>MID(Tabla1[[#This Row],[ENLACE]],FIND("~",SUBSTITUTE(Tabla1[[#This Row],[ENLACE]],"/","~",2))+1,LEN(Tabla1[[#This Row],[ENLACE]]))</f>
        <v>fc-uta-arad</v>
      </c>
      <c r="B463" s="2" t="s">
        <v>372</v>
      </c>
      <c r="C463" t="str">
        <f>_xlfn.TEXTBEFORE(_xlfn.TEXTAFTER(Tabla1[[#This Row],[ENLACE]],"/",1),"/")</f>
        <v>romania</v>
      </c>
      <c r="D463" t="str">
        <f>Tabla1[[#This Row],[PAIS]]</f>
        <v>romania</v>
      </c>
      <c r="E463" s="8" t="str">
        <f ca="1">IF(VLOOKUP(Tabla1[[#This Row],[DIVISION]],$H$2:$I$44,2)="X","SI","NO")</f>
        <v>SI</v>
      </c>
    </row>
    <row r="464" spans="1:5" x14ac:dyDescent="0.3">
      <c r="A464" t="str">
        <f>MID(Tabla1[[#This Row],[ENLACE]],FIND("~",SUBSTITUTE(Tabla1[[#This Row],[ENLACE]],"/","~",2))+1,LEN(Tabla1[[#This Row],[ENLACE]]))</f>
        <v>abha-club</v>
      </c>
      <c r="B464" s="5" t="s">
        <v>595</v>
      </c>
      <c r="C464" t="str">
        <f>_xlfn.TEXTBEFORE(_xlfn.TEXTAFTER(Tabla1[[#This Row],[ENLACE]],"/",1),"/")</f>
        <v>saudi-arabia</v>
      </c>
      <c r="D464" t="str">
        <f>Tabla1[[#This Row],[PAIS]]</f>
        <v>saudi-arabia</v>
      </c>
      <c r="E464" s="8" t="str">
        <f ca="1">IF(VLOOKUP(Tabla1[[#This Row],[DIVISION]],$H$2:$I$44,2)="X","SI","NO")</f>
        <v>SI</v>
      </c>
    </row>
    <row r="465" spans="1:5" x14ac:dyDescent="0.3">
      <c r="A465" t="str">
        <f>MID(Tabla1[[#This Row],[ENLACE]],FIND("~",SUBSTITUTE(Tabla1[[#This Row],[ENLACE]],"/","~",2))+1,LEN(Tabla1[[#This Row],[ENLACE]]))</f>
        <v>diriyah-club</v>
      </c>
      <c r="B465" s="2" t="s">
        <v>596</v>
      </c>
      <c r="C465" t="str">
        <f>_xlfn.TEXTBEFORE(_xlfn.TEXTAFTER(Tabla1[[#This Row],[ENLACE]],"/",1),"/")</f>
        <v>saudi-arabia</v>
      </c>
      <c r="D465" t="str">
        <f>Tabla1[[#This Row],[PAIS]]</f>
        <v>saudi-arabia</v>
      </c>
      <c r="E465" s="8" t="str">
        <f ca="1">IF(VLOOKUP(Tabla1[[#This Row],[DIVISION]],$H$2:$I$44,2)="X","SI","NO")</f>
        <v>SI</v>
      </c>
    </row>
    <row r="466" spans="1:5" x14ac:dyDescent="0.3">
      <c r="A466" t="str">
        <f>MID(Tabla1[[#This Row],[ENLACE]],FIND("~",SUBSTITUTE(Tabla1[[#This Row],[ENLACE]],"/","~",2))+1,LEN(Tabla1[[#This Row],[ENLACE]]))</f>
        <v>al-fateh-sc</v>
      </c>
      <c r="B466" s="5" t="s">
        <v>373</v>
      </c>
      <c r="C466" t="str">
        <f>_xlfn.TEXTBEFORE(_xlfn.TEXTAFTER(Tabla1[[#This Row],[ENLACE]],"/",1),"/")</f>
        <v>saudi-arabia</v>
      </c>
      <c r="D466" t="str">
        <f>Tabla1[[#This Row],[PAIS]]</f>
        <v>saudi-arabia</v>
      </c>
      <c r="E466" s="8" t="str">
        <f ca="1">IF(VLOOKUP(Tabla1[[#This Row],[DIVISION]],$H$2:$I$44,2)="X","SI","NO")</f>
        <v>SI</v>
      </c>
    </row>
    <row r="467" spans="1:5" x14ac:dyDescent="0.3">
      <c r="A467" t="str">
        <f>MID(Tabla1[[#This Row],[ENLACE]],FIND("~",SUBSTITUTE(Tabla1[[#This Row],[ENLACE]],"/","~",2))+1,LEN(Tabla1[[#This Row],[ENLACE]]))</f>
        <v>al-fayha-fc</v>
      </c>
      <c r="B467" s="2" t="s">
        <v>374</v>
      </c>
      <c r="C467" t="str">
        <f>_xlfn.TEXTBEFORE(_xlfn.TEXTAFTER(Tabla1[[#This Row],[ENLACE]],"/",1),"/")</f>
        <v>saudi-arabia</v>
      </c>
      <c r="D467" t="str">
        <f>Tabla1[[#This Row],[PAIS]]</f>
        <v>saudi-arabia</v>
      </c>
      <c r="E467" s="8" t="str">
        <f ca="1">IF(VLOOKUP(Tabla1[[#This Row],[DIVISION]],$H$2:$I$44,2)="X","SI","NO")</f>
        <v>SI</v>
      </c>
    </row>
    <row r="468" spans="1:5" x14ac:dyDescent="0.3">
      <c r="A468" t="str">
        <f>MID(Tabla1[[#This Row],[ENLACE]],FIND("~",SUBSTITUTE(Tabla1[[#This Row],[ENLACE]],"/","~",2))+1,LEN(Tabla1[[#This Row],[ENLACE]]))</f>
        <v>al-hazem-fc</v>
      </c>
      <c r="B468" s="5" t="s">
        <v>499</v>
      </c>
      <c r="C468" t="str">
        <f>_xlfn.TEXTBEFORE(_xlfn.TEXTAFTER(Tabla1[[#This Row],[ENLACE]],"/",1),"/")</f>
        <v>saudi-arabia</v>
      </c>
      <c r="D468" t="str">
        <f>Tabla1[[#This Row],[PAIS]]</f>
        <v>saudi-arabia</v>
      </c>
      <c r="E468" s="8" t="str">
        <f ca="1">IF(VLOOKUP(Tabla1[[#This Row],[DIVISION]],$H$2:$I$44,2)="X","SI","NO")</f>
        <v>SI</v>
      </c>
    </row>
    <row r="469" spans="1:5" x14ac:dyDescent="0.3">
      <c r="A469" t="str">
        <f>MID(Tabla1[[#This Row],[ENLACE]],FIND("~",SUBSTITUTE(Tabla1[[#This Row],[ENLACE]],"/","~",2))+1,LEN(Tabla1[[#This Row],[ENLACE]]))</f>
        <v>khaleej-fc</v>
      </c>
      <c r="B469" s="2" t="s">
        <v>375</v>
      </c>
      <c r="C469" t="str">
        <f>_xlfn.TEXTBEFORE(_xlfn.TEXTAFTER(Tabla1[[#This Row],[ENLACE]],"/",1),"/")</f>
        <v>saudi-arabia</v>
      </c>
      <c r="D469" t="str">
        <f>Tabla1[[#This Row],[PAIS]]</f>
        <v>saudi-arabia</v>
      </c>
      <c r="E469" s="8" t="str">
        <f ca="1">IF(VLOOKUP(Tabla1[[#This Row],[DIVISION]],$H$2:$I$44,2)="X","SI","NO")</f>
        <v>SI</v>
      </c>
    </row>
    <row r="470" spans="1:5" x14ac:dyDescent="0.3">
      <c r="A470" t="str">
        <f>MID(Tabla1[[#This Row],[ENLACE]],FIND("~",SUBSTITUTE(Tabla1[[#This Row],[ENLACE]],"/","~",2))+1,LEN(Tabla1[[#This Row],[ENLACE]]))</f>
        <v>al-kholood-club</v>
      </c>
      <c r="B470" s="5" t="s">
        <v>376</v>
      </c>
      <c r="C470" t="str">
        <f>_xlfn.TEXTBEFORE(_xlfn.TEXTAFTER(Tabla1[[#This Row],[ENLACE]],"/",1),"/")</f>
        <v>saudi-arabia</v>
      </c>
      <c r="D470" t="str">
        <f>Tabla1[[#This Row],[PAIS]]</f>
        <v>saudi-arabia</v>
      </c>
      <c r="E470" s="8" t="str">
        <f ca="1">IF(VLOOKUP(Tabla1[[#This Row],[DIVISION]],$H$2:$I$44,2)="X","SI","NO")</f>
        <v>SI</v>
      </c>
    </row>
    <row r="471" spans="1:5" x14ac:dyDescent="0.3">
      <c r="A471" t="str">
        <f>MID(Tabla1[[#This Row],[ENLACE]],FIND("~",SUBSTITUTE(Tabla1[[#This Row],[ENLACE]],"/","~",2))+1,LEN(Tabla1[[#This Row],[ENLACE]]))</f>
        <v>al-qadsiah-fc</v>
      </c>
      <c r="B471" s="2" t="s">
        <v>377</v>
      </c>
      <c r="C471" t="str">
        <f>_xlfn.TEXTBEFORE(_xlfn.TEXTAFTER(Tabla1[[#This Row],[ENLACE]],"/",1),"/")</f>
        <v>saudi-arabia</v>
      </c>
      <c r="D471" t="str">
        <f>Tabla1[[#This Row],[PAIS]]</f>
        <v>saudi-arabia</v>
      </c>
      <c r="E471" s="8" t="str">
        <f ca="1">IF(VLOOKUP(Tabla1[[#This Row],[DIVISION]],$H$2:$I$44,2)="X","SI","NO")</f>
        <v>SI</v>
      </c>
    </row>
    <row r="472" spans="1:5" x14ac:dyDescent="0.3">
      <c r="A472" t="str">
        <f>MID(Tabla1[[#This Row],[ENLACE]],FIND("~",SUBSTITUTE(Tabla1[[#This Row],[ENLACE]],"/","~",2))+1,LEN(Tabla1[[#This Row],[ENLACE]]))</f>
        <v>al-riyadh-sc</v>
      </c>
      <c r="B472" s="5" t="s">
        <v>378</v>
      </c>
      <c r="C472" t="str">
        <f>_xlfn.TEXTBEFORE(_xlfn.TEXTAFTER(Tabla1[[#This Row],[ENLACE]],"/",1),"/")</f>
        <v>saudi-arabia</v>
      </c>
      <c r="D472" t="str">
        <f>Tabla1[[#This Row],[PAIS]]</f>
        <v>saudi-arabia</v>
      </c>
      <c r="E472" s="8" t="str">
        <f ca="1">IF(VLOOKUP(Tabla1[[#This Row],[DIVISION]],$H$2:$I$44,2)="X","SI","NO")</f>
        <v>SI</v>
      </c>
    </row>
    <row r="473" spans="1:5" x14ac:dyDescent="0.3">
      <c r="A473" t="str">
        <f>MID(Tabla1[[#This Row],[ENLACE]],FIND("~",SUBSTITUTE(Tabla1[[#This Row],[ENLACE]],"/","~",2))+1,LEN(Tabla1[[#This Row],[ENLACE]]))</f>
        <v>al-ahli-saudi-fc</v>
      </c>
      <c r="B473" s="2" t="s">
        <v>379</v>
      </c>
      <c r="C473" t="str">
        <f>_xlfn.TEXTBEFORE(_xlfn.TEXTAFTER(Tabla1[[#This Row],[ENLACE]],"/",1),"/")</f>
        <v>saudi-arabia</v>
      </c>
      <c r="D473" t="str">
        <f>Tabla1[[#This Row],[PAIS]]</f>
        <v>saudi-arabia</v>
      </c>
      <c r="E473" s="8" t="str">
        <f ca="1">IF(VLOOKUP(Tabla1[[#This Row],[DIVISION]],$H$2:$I$44,2)="X","SI","NO")</f>
        <v>SI</v>
      </c>
    </row>
    <row r="474" spans="1:5" x14ac:dyDescent="0.3">
      <c r="A474" t="str">
        <f>MID(Tabla1[[#This Row],[ENLACE]],FIND("~",SUBSTITUTE(Tabla1[[#This Row],[ENLACE]],"/","~",2))+1,LEN(Tabla1[[#This Row],[ENLACE]]))</f>
        <v>al-ettifaq-fc</v>
      </c>
      <c r="B474" s="5" t="s">
        <v>380</v>
      </c>
      <c r="C474" t="str">
        <f>_xlfn.TEXTBEFORE(_xlfn.TEXTAFTER(Tabla1[[#This Row],[ENLACE]],"/",1),"/")</f>
        <v>saudi-arabia</v>
      </c>
      <c r="D474" t="str">
        <f>Tabla1[[#This Row],[PAIS]]</f>
        <v>saudi-arabia</v>
      </c>
      <c r="E474" s="8" t="str">
        <f ca="1">IF(VLOOKUP(Tabla1[[#This Row],[DIVISION]],$H$2:$I$44,2)="X","SI","NO")</f>
        <v>SI</v>
      </c>
    </row>
    <row r="475" spans="1:5" x14ac:dyDescent="0.3">
      <c r="A475" t="str">
        <f>MID(Tabla1[[#This Row],[ENLACE]],FIND("~",SUBSTITUTE(Tabla1[[#This Row],[ENLACE]],"/","~",2))+1,LEN(Tabla1[[#This Row],[ENLACE]]))</f>
        <v>al-faisaly-fc</v>
      </c>
      <c r="B475" s="2" t="s">
        <v>597</v>
      </c>
      <c r="C475" t="str">
        <f>_xlfn.TEXTBEFORE(_xlfn.TEXTAFTER(Tabla1[[#This Row],[ENLACE]],"/",1),"/")</f>
        <v>saudi-arabia</v>
      </c>
      <c r="D475" t="str">
        <f>Tabla1[[#This Row],[PAIS]]</f>
        <v>saudi-arabia</v>
      </c>
      <c r="E475" s="8" t="str">
        <f ca="1">IF(VLOOKUP(Tabla1[[#This Row],[DIVISION]],$H$2:$I$44,2)="X","SI","NO")</f>
        <v>SI</v>
      </c>
    </row>
    <row r="476" spans="1:5" x14ac:dyDescent="0.3">
      <c r="A476" t="str">
        <f>MID(Tabla1[[#This Row],[ENLACE]],FIND("~",SUBSTITUTE(Tabla1[[#This Row],[ENLACE]],"/","~",2))+1,LEN(Tabla1[[#This Row],[ENLACE]]))</f>
        <v>al-hilal-fc</v>
      </c>
      <c r="B476" s="5" t="s">
        <v>381</v>
      </c>
      <c r="C476" t="str">
        <f>_xlfn.TEXTBEFORE(_xlfn.TEXTAFTER(Tabla1[[#This Row],[ENLACE]],"/",1),"/")</f>
        <v>saudi-arabia</v>
      </c>
      <c r="D476" t="str">
        <f>Tabla1[[#This Row],[PAIS]]</f>
        <v>saudi-arabia</v>
      </c>
      <c r="E476" s="8" t="str">
        <f ca="1">IF(VLOOKUP(Tabla1[[#This Row],[DIVISION]],$H$2:$I$44,2)="X","SI","NO")</f>
        <v>SI</v>
      </c>
    </row>
    <row r="477" spans="1:5" x14ac:dyDescent="0.3">
      <c r="A477" t="str">
        <f>MID(Tabla1[[#This Row],[ENLACE]],FIND("~",SUBSTITUTE(Tabla1[[#This Row],[ENLACE]],"/","~",2))+1,LEN(Tabla1[[#This Row],[ENLACE]]))</f>
        <v>al-ittihad-fc</v>
      </c>
      <c r="B477" s="2" t="s">
        <v>382</v>
      </c>
      <c r="C477" t="str">
        <f>_xlfn.TEXTBEFORE(_xlfn.TEXTAFTER(Tabla1[[#This Row],[ENLACE]],"/",1),"/")</f>
        <v>saudi-arabia</v>
      </c>
      <c r="D477" t="str">
        <f>Tabla1[[#This Row],[PAIS]]</f>
        <v>saudi-arabia</v>
      </c>
      <c r="E477" s="8" t="str">
        <f ca="1">IF(VLOOKUP(Tabla1[[#This Row],[DIVISION]],$H$2:$I$44,2)="X","SI","NO")</f>
        <v>SI</v>
      </c>
    </row>
    <row r="478" spans="1:5" x14ac:dyDescent="0.3">
      <c r="A478" t="str">
        <f>MID(Tabla1[[#This Row],[ENLACE]],FIND("~",SUBSTITUTE(Tabla1[[#This Row],[ENLACE]],"/","~",2))+1,LEN(Tabla1[[#This Row],[ENLACE]]))</f>
        <v>al-nassr-fc</v>
      </c>
      <c r="B478" s="5" t="s">
        <v>383</v>
      </c>
      <c r="C478" t="str">
        <f>_xlfn.TEXTBEFORE(_xlfn.TEXTAFTER(Tabla1[[#This Row],[ENLACE]],"/",1),"/")</f>
        <v>saudi-arabia</v>
      </c>
      <c r="D478" t="str">
        <f>Tabla1[[#This Row],[PAIS]]</f>
        <v>saudi-arabia</v>
      </c>
      <c r="E478" s="8" t="str">
        <f ca="1">IF(VLOOKUP(Tabla1[[#This Row],[DIVISION]],$H$2:$I$44,2)="X","SI","NO")</f>
        <v>SI</v>
      </c>
    </row>
    <row r="479" spans="1:5" x14ac:dyDescent="0.3">
      <c r="A479" t="str">
        <f>MID(Tabla1[[#This Row],[ENLACE]],FIND("~",SUBSTITUTE(Tabla1[[#This Row],[ENLACE]],"/","~",2))+1,LEN(Tabla1[[#This Row],[ENLACE]]))</f>
        <v>al-shabab-fc</v>
      </c>
      <c r="B479" s="2" t="s">
        <v>384</v>
      </c>
      <c r="C479" t="str">
        <f>_xlfn.TEXTBEFORE(_xlfn.TEXTAFTER(Tabla1[[#This Row],[ENLACE]],"/",1),"/")</f>
        <v>saudi-arabia</v>
      </c>
      <c r="D479" t="str">
        <f>Tabla1[[#This Row],[PAIS]]</f>
        <v>saudi-arabia</v>
      </c>
      <c r="E479" s="8" t="str">
        <f ca="1">IF(VLOOKUP(Tabla1[[#This Row],[DIVISION]],$H$2:$I$44,2)="X","SI","NO")</f>
        <v>SI</v>
      </c>
    </row>
    <row r="480" spans="1:5" x14ac:dyDescent="0.3">
      <c r="A480" t="str">
        <f>MID(Tabla1[[#This Row],[ENLACE]],FIND("~",SUBSTITUTE(Tabla1[[#This Row],[ENLACE]],"/","~",2))+1,LEN(Tabla1[[#This Row],[ENLACE]]))</f>
        <v>al-taawoun-fc</v>
      </c>
      <c r="B480" s="5" t="s">
        <v>385</v>
      </c>
      <c r="C480" t="str">
        <f>_xlfn.TEXTBEFORE(_xlfn.TEXTAFTER(Tabla1[[#This Row],[ENLACE]],"/",1),"/")</f>
        <v>saudi-arabia</v>
      </c>
      <c r="D480" t="str">
        <f>Tabla1[[#This Row],[PAIS]]</f>
        <v>saudi-arabia</v>
      </c>
      <c r="E480" s="8" t="str">
        <f ca="1">IF(VLOOKUP(Tabla1[[#This Row],[DIVISION]],$H$2:$I$44,2)="X","SI","NO")</f>
        <v>SI</v>
      </c>
    </row>
    <row r="481" spans="1:5" x14ac:dyDescent="0.3">
      <c r="A481" t="str">
        <f>MID(Tabla1[[#This Row],[ENLACE]],FIND("~",SUBSTITUTE(Tabla1[[#This Row],[ENLACE]],"/","~",2))+1,LEN(Tabla1[[#This Row],[ENLACE]]))</f>
        <v>neom-sc</v>
      </c>
      <c r="B481" s="2" t="s">
        <v>500</v>
      </c>
      <c r="C481" t="str">
        <f>_xlfn.TEXTBEFORE(_xlfn.TEXTAFTER(Tabla1[[#This Row],[ENLACE]],"/",1),"/")</f>
        <v>saudi-arabia</v>
      </c>
      <c r="D481" t="str">
        <f>Tabla1[[#This Row],[PAIS]]</f>
        <v>saudi-arabia</v>
      </c>
      <c r="E481" s="8" t="str">
        <f ca="1">IF(VLOOKUP(Tabla1[[#This Row],[DIVISION]],$H$2:$I$44,2)="X","SI","NO")</f>
        <v>SI</v>
      </c>
    </row>
    <row r="482" spans="1:5" x14ac:dyDescent="0.3">
      <c r="A482" t="str">
        <f>MID(Tabla1[[#This Row],[ENLACE]],FIND("~",SUBSTITUTE(Tabla1[[#This Row],[ENLACE]],"/","~",2))+1,LEN(Tabla1[[#This Row],[ENLACE]]))</f>
        <v>aberdeen-fc</v>
      </c>
      <c r="B482" s="5" t="s">
        <v>386</v>
      </c>
      <c r="C482" t="str">
        <f>_xlfn.TEXTBEFORE(_xlfn.TEXTAFTER(Tabla1[[#This Row],[ENLACE]],"/",1),"/")</f>
        <v>scotland</v>
      </c>
      <c r="D482" t="str">
        <f>Tabla1[[#This Row],[PAIS]]</f>
        <v>scotland</v>
      </c>
      <c r="E482" s="8" t="str">
        <f ca="1">IF(VLOOKUP(Tabla1[[#This Row],[DIVISION]],$H$2:$I$44,2)="X","SI","NO")</f>
        <v>SI</v>
      </c>
    </row>
    <row r="483" spans="1:5" x14ac:dyDescent="0.3">
      <c r="A483" t="str">
        <f>MID(Tabla1[[#This Row],[ENLACE]],FIND("~",SUBSTITUTE(Tabla1[[#This Row],[ENLACE]],"/","~",2))+1,LEN(Tabla1[[#This Row],[ENLACE]]))</f>
        <v>celtic-fc</v>
      </c>
      <c r="B483" s="2" t="s">
        <v>387</v>
      </c>
      <c r="C483" t="str">
        <f>_xlfn.TEXTBEFORE(_xlfn.TEXTAFTER(Tabla1[[#This Row],[ENLACE]],"/",1),"/")</f>
        <v>scotland</v>
      </c>
      <c r="D483" t="str">
        <f>Tabla1[[#This Row],[PAIS]]</f>
        <v>scotland</v>
      </c>
      <c r="E483" s="8" t="str">
        <f ca="1">IF(VLOOKUP(Tabla1[[#This Row],[DIVISION]],$H$2:$I$44,2)="X","SI","NO")</f>
        <v>SI</v>
      </c>
    </row>
    <row r="484" spans="1:5" x14ac:dyDescent="0.3">
      <c r="A484" t="str">
        <f>MID(Tabla1[[#This Row],[ENLACE]],FIND("~",SUBSTITUTE(Tabla1[[#This Row],[ENLACE]],"/","~",2))+1,LEN(Tabla1[[#This Row],[ENLACE]]))</f>
        <v>dundee-fc</v>
      </c>
      <c r="B484" s="5" t="s">
        <v>388</v>
      </c>
      <c r="C484" t="str">
        <f>_xlfn.TEXTBEFORE(_xlfn.TEXTAFTER(Tabla1[[#This Row],[ENLACE]],"/",1),"/")</f>
        <v>scotland</v>
      </c>
      <c r="D484" t="str">
        <f>Tabla1[[#This Row],[PAIS]]</f>
        <v>scotland</v>
      </c>
      <c r="E484" s="8" t="str">
        <f ca="1">IF(VLOOKUP(Tabla1[[#This Row],[DIVISION]],$H$2:$I$44,2)="X","SI","NO")</f>
        <v>SI</v>
      </c>
    </row>
    <row r="485" spans="1:5" x14ac:dyDescent="0.3">
      <c r="A485" t="str">
        <f>MID(Tabla1[[#This Row],[ENLACE]],FIND("~",SUBSTITUTE(Tabla1[[#This Row],[ENLACE]],"/","~",2))+1,LEN(Tabla1[[#This Row],[ENLACE]]))</f>
        <v>dundee-united-fc</v>
      </c>
      <c r="B485" s="2" t="s">
        <v>389</v>
      </c>
      <c r="C485" t="str">
        <f>_xlfn.TEXTBEFORE(_xlfn.TEXTAFTER(Tabla1[[#This Row],[ENLACE]],"/",1),"/")</f>
        <v>scotland</v>
      </c>
      <c r="D485" t="str">
        <f>Tabla1[[#This Row],[PAIS]]</f>
        <v>scotland</v>
      </c>
      <c r="E485" s="8" t="str">
        <f ca="1">IF(VLOOKUP(Tabla1[[#This Row],[DIVISION]],$H$2:$I$44,2)="X","SI","NO")</f>
        <v>SI</v>
      </c>
    </row>
    <row r="486" spans="1:5" x14ac:dyDescent="0.3">
      <c r="A486" t="str">
        <f>MID(Tabla1[[#This Row],[ENLACE]],FIND("~",SUBSTITUTE(Tabla1[[#This Row],[ENLACE]],"/","~",2))+1,LEN(Tabla1[[#This Row],[ENLACE]]))</f>
        <v>falkirk-fc</v>
      </c>
      <c r="B486" s="5" t="s">
        <v>390</v>
      </c>
      <c r="C486" t="str">
        <f>_xlfn.TEXTBEFORE(_xlfn.TEXTAFTER(Tabla1[[#This Row],[ENLACE]],"/",1),"/")</f>
        <v>scotland</v>
      </c>
      <c r="D486" t="str">
        <f>Tabla1[[#This Row],[PAIS]]</f>
        <v>scotland</v>
      </c>
      <c r="E486" s="8" t="str">
        <f ca="1">IF(VLOOKUP(Tabla1[[#This Row],[DIVISION]],$H$2:$I$44,2)="X","SI","NO")</f>
        <v>SI</v>
      </c>
    </row>
    <row r="487" spans="1:5" x14ac:dyDescent="0.3">
      <c r="A487" t="str">
        <f>MID(Tabla1[[#This Row],[ENLACE]],FIND("~",SUBSTITUTE(Tabla1[[#This Row],[ENLACE]],"/","~",2))+1,LEN(Tabla1[[#This Row],[ENLACE]]))</f>
        <v>heart-of-midlothian-fc</v>
      </c>
      <c r="B487" s="2" t="s">
        <v>391</v>
      </c>
      <c r="C487" t="str">
        <f>_xlfn.TEXTBEFORE(_xlfn.TEXTAFTER(Tabla1[[#This Row],[ENLACE]],"/",1),"/")</f>
        <v>scotland</v>
      </c>
      <c r="D487" t="str">
        <f>Tabla1[[#This Row],[PAIS]]</f>
        <v>scotland</v>
      </c>
      <c r="E487" s="8" t="str">
        <f ca="1">IF(VLOOKUP(Tabla1[[#This Row],[DIVISION]],$H$2:$I$44,2)="X","SI","NO")</f>
        <v>SI</v>
      </c>
    </row>
    <row r="488" spans="1:5" x14ac:dyDescent="0.3">
      <c r="A488" t="str">
        <f>MID(Tabla1[[#This Row],[ENLACE]],FIND("~",SUBSTITUTE(Tabla1[[#This Row],[ENLACE]],"/","~",2))+1,LEN(Tabla1[[#This Row],[ENLACE]]))</f>
        <v>hibernian-fc</v>
      </c>
      <c r="B488" s="5" t="s">
        <v>392</v>
      </c>
      <c r="C488" t="str">
        <f>_xlfn.TEXTBEFORE(_xlfn.TEXTAFTER(Tabla1[[#This Row],[ENLACE]],"/",1),"/")</f>
        <v>scotland</v>
      </c>
      <c r="D488" t="str">
        <f>Tabla1[[#This Row],[PAIS]]</f>
        <v>scotland</v>
      </c>
      <c r="E488" s="8" t="str">
        <f ca="1">IF(VLOOKUP(Tabla1[[#This Row],[DIVISION]],$H$2:$I$44,2)="X","SI","NO")</f>
        <v>SI</v>
      </c>
    </row>
    <row r="489" spans="1:5" x14ac:dyDescent="0.3">
      <c r="A489" t="str">
        <f>MID(Tabla1[[#This Row],[ENLACE]],FIND("~",SUBSTITUTE(Tabla1[[#This Row],[ENLACE]],"/","~",2))+1,LEN(Tabla1[[#This Row],[ENLACE]]))</f>
        <v>kilmarnock-fc</v>
      </c>
      <c r="B489" s="2" t="s">
        <v>393</v>
      </c>
      <c r="C489" t="str">
        <f>_xlfn.TEXTBEFORE(_xlfn.TEXTAFTER(Tabla1[[#This Row],[ENLACE]],"/",1),"/")</f>
        <v>scotland</v>
      </c>
      <c r="D489" t="str">
        <f>Tabla1[[#This Row],[PAIS]]</f>
        <v>scotland</v>
      </c>
      <c r="E489" s="8" t="str">
        <f ca="1">IF(VLOOKUP(Tabla1[[#This Row],[DIVISION]],$H$2:$I$44,2)="X","SI","NO")</f>
        <v>SI</v>
      </c>
    </row>
    <row r="490" spans="1:5" x14ac:dyDescent="0.3">
      <c r="A490" t="str">
        <f>MID(Tabla1[[#This Row],[ENLACE]],FIND("~",SUBSTITUTE(Tabla1[[#This Row],[ENLACE]],"/","~",2))+1,LEN(Tabla1[[#This Row],[ENLACE]]))</f>
        <v>motherwell-fc</v>
      </c>
      <c r="B490" s="5" t="s">
        <v>394</v>
      </c>
      <c r="C490" t="str">
        <f>_xlfn.TEXTBEFORE(_xlfn.TEXTAFTER(Tabla1[[#This Row],[ENLACE]],"/",1),"/")</f>
        <v>scotland</v>
      </c>
      <c r="D490" t="str">
        <f>Tabla1[[#This Row],[PAIS]]</f>
        <v>scotland</v>
      </c>
      <c r="E490" s="8" t="str">
        <f ca="1">IF(VLOOKUP(Tabla1[[#This Row],[DIVISION]],$H$2:$I$44,2)="X","SI","NO")</f>
        <v>SI</v>
      </c>
    </row>
    <row r="491" spans="1:5" x14ac:dyDescent="0.3">
      <c r="A491" t="str">
        <f>MID(Tabla1[[#This Row],[ENLACE]],FIND("~",SUBSTITUTE(Tabla1[[#This Row],[ENLACE]],"/","~",2))+1,LEN(Tabla1[[#This Row],[ENLACE]]))</f>
        <v>rangers-fc</v>
      </c>
      <c r="B491" s="2" t="s">
        <v>395</v>
      </c>
      <c r="C491" t="str">
        <f>_xlfn.TEXTBEFORE(_xlfn.TEXTAFTER(Tabla1[[#This Row],[ENLACE]],"/",1),"/")</f>
        <v>scotland</v>
      </c>
      <c r="D491" t="str">
        <f>Tabla1[[#This Row],[PAIS]]</f>
        <v>scotland</v>
      </c>
      <c r="E491" s="8" t="str">
        <f ca="1">IF(VLOOKUP(Tabla1[[#This Row],[DIVISION]],$H$2:$I$44,2)="X","SI","NO")</f>
        <v>SI</v>
      </c>
    </row>
    <row r="492" spans="1:5" x14ac:dyDescent="0.3">
      <c r="A492" t="str">
        <f>MID(Tabla1[[#This Row],[ENLACE]],FIND("~",SUBSTITUTE(Tabla1[[#This Row],[ENLACE]],"/","~",2))+1,LEN(Tabla1[[#This Row],[ENLACE]]))</f>
        <v>st-johnstone-fc</v>
      </c>
      <c r="B492" s="5" t="s">
        <v>588</v>
      </c>
      <c r="C492" t="str">
        <f>_xlfn.TEXTBEFORE(_xlfn.TEXTAFTER(Tabla1[[#This Row],[ENLACE]],"/",1),"/")</f>
        <v>scotland</v>
      </c>
      <c r="D492" t="str">
        <f>Tabla1[[#This Row],[PAIS]]</f>
        <v>scotland</v>
      </c>
      <c r="E492" s="8" t="str">
        <f ca="1">IF(VLOOKUP(Tabla1[[#This Row],[DIVISION]],$H$2:$I$44,2)="X","SI","NO")</f>
        <v>SI</v>
      </c>
    </row>
    <row r="493" spans="1:5" x14ac:dyDescent="0.3">
      <c r="A493" t="str">
        <f>MID(Tabla1[[#This Row],[ENLACE]],FIND("~",SUBSTITUTE(Tabla1[[#This Row],[ENLACE]],"/","~",2))+1,LEN(Tabla1[[#This Row],[ENLACE]]))</f>
        <v>st-mirren-fc</v>
      </c>
      <c r="B493" s="2" t="s">
        <v>396</v>
      </c>
      <c r="C493" t="str">
        <f>_xlfn.TEXTBEFORE(_xlfn.TEXTAFTER(Tabla1[[#This Row],[ENLACE]],"/",1),"/")</f>
        <v>scotland</v>
      </c>
      <c r="D493" t="str">
        <f>Tabla1[[#This Row],[PAIS]]</f>
        <v>scotland</v>
      </c>
      <c r="E493" s="8" t="str">
        <f ca="1">IF(VLOOKUP(Tabla1[[#This Row],[DIVISION]],$H$2:$I$44,2)="X","SI","NO")</f>
        <v>SI</v>
      </c>
    </row>
    <row r="494" spans="1:5" x14ac:dyDescent="0.3">
      <c r="A494" t="str">
        <f>MID(Tabla1[[#This Row],[ENLACE]],FIND("~",SUBSTITUTE(Tabla1[[#This Row],[ENLACE]],"/","~",2))+1,LEN(Tabla1[[#This Row],[ENLACE]]))</f>
        <v>deportivo-de-a-coruna</v>
      </c>
      <c r="B494" s="5" t="s">
        <v>609</v>
      </c>
      <c r="C494" t="str">
        <f>_xlfn.TEXTBEFORE(_xlfn.TEXTAFTER(Tabla1[[#This Row],[ENLACE]],"/",1),"/")</f>
        <v>spain</v>
      </c>
      <c r="D494" t="str">
        <f>Tabla1[[#This Row],[PAIS]]</f>
        <v>spain</v>
      </c>
      <c r="E494" s="8" t="str">
        <f ca="1">IF(VLOOKUP(Tabla1[[#This Row],[DIVISION]],$H$2:$I$44,2)="X","SI","NO")</f>
        <v>SI</v>
      </c>
    </row>
    <row r="495" spans="1:5" x14ac:dyDescent="0.3">
      <c r="A495" t="str">
        <f>MID(Tabla1[[#This Row],[ENLACE]],FIND("~",SUBSTITUTE(Tabla1[[#This Row],[ENLACE]],"/","~",2))+1,LEN(Tabla1[[#This Row],[ENLACE]]))</f>
        <v>deportivo-alaves</v>
      </c>
      <c r="B495" s="2" t="s">
        <v>40</v>
      </c>
      <c r="C495" t="str">
        <f>_xlfn.TEXTBEFORE(_xlfn.TEXTAFTER(Tabla1[[#This Row],[ENLACE]],"/",1),"/")</f>
        <v>spain</v>
      </c>
      <c r="D495" t="str">
        <f>Tabla1[[#This Row],[PAIS]]</f>
        <v>spain</v>
      </c>
      <c r="E495" s="8" t="str">
        <f ca="1">IF(VLOOKUP(Tabla1[[#This Row],[DIVISION]],$H$2:$I$44,2)="X","SI","NO")</f>
        <v>SI</v>
      </c>
    </row>
    <row r="496" spans="1:5" x14ac:dyDescent="0.3">
      <c r="A496" t="str">
        <f>MID(Tabla1[[#This Row],[ENLACE]],FIND("~",SUBSTITUTE(Tabla1[[#This Row],[ENLACE]],"/","~",2))+1,LEN(Tabla1[[#This Row],[ENLACE]]))</f>
        <v>athletic-bilbao</v>
      </c>
      <c r="B496" s="5" t="s">
        <v>41</v>
      </c>
      <c r="C496" t="str">
        <f>_xlfn.TEXTBEFORE(_xlfn.TEXTAFTER(Tabla1[[#This Row],[ENLACE]],"/",1),"/")</f>
        <v>spain</v>
      </c>
      <c r="D496" t="str">
        <f>Tabla1[[#This Row],[PAIS]]</f>
        <v>spain</v>
      </c>
      <c r="E496" s="8" t="str">
        <f ca="1">IF(VLOOKUP(Tabla1[[#This Row],[DIVISION]],$H$2:$I$44,2)="X","SI","NO")</f>
        <v>SI</v>
      </c>
    </row>
    <row r="497" spans="1:5" x14ac:dyDescent="0.3">
      <c r="A497" t="str">
        <f>MID(Tabla1[[#This Row],[ENLACE]],FIND("~",SUBSTITUTE(Tabla1[[#This Row],[ENLACE]],"/","~",2))+1,LEN(Tabla1[[#This Row],[ENLACE]]))</f>
        <v>atletico-madrid</v>
      </c>
      <c r="B497" s="2" t="s">
        <v>42</v>
      </c>
      <c r="C497" t="str">
        <f>_xlfn.TEXTBEFORE(_xlfn.TEXTAFTER(Tabla1[[#This Row],[ENLACE]],"/",1),"/")</f>
        <v>spain</v>
      </c>
      <c r="D497" t="str">
        <f>Tabla1[[#This Row],[PAIS]]</f>
        <v>spain</v>
      </c>
      <c r="E497" s="8" t="str">
        <f ca="1">IF(VLOOKUP(Tabla1[[#This Row],[DIVISION]],$H$2:$I$44,2)="X","SI","NO")</f>
        <v>SI</v>
      </c>
    </row>
    <row r="498" spans="1:5" x14ac:dyDescent="0.3">
      <c r="A498" t="str">
        <f>MID(Tabla1[[#This Row],[ENLACE]],FIND("~",SUBSTITUTE(Tabla1[[#This Row],[ENLACE]],"/","~",2))+1,LEN(Tabla1[[#This Row],[ENLACE]]))</f>
        <v>fc-barcelona</v>
      </c>
      <c r="B498" s="5" t="s">
        <v>43</v>
      </c>
      <c r="C498" t="str">
        <f>_xlfn.TEXTBEFORE(_xlfn.TEXTAFTER(Tabla1[[#This Row],[ENLACE]],"/",1),"/")</f>
        <v>spain</v>
      </c>
      <c r="D498" t="str">
        <f>Tabla1[[#This Row],[PAIS]]</f>
        <v>spain</v>
      </c>
      <c r="E498" s="8" t="str">
        <f ca="1">IF(VLOOKUP(Tabla1[[#This Row],[DIVISION]],$H$2:$I$44,2)="X","SI","NO")</f>
        <v>SI</v>
      </c>
    </row>
    <row r="499" spans="1:5" x14ac:dyDescent="0.3">
      <c r="A499" t="str">
        <f>MID(Tabla1[[#This Row],[ENLACE]],FIND("~",SUBSTITUTE(Tabla1[[#This Row],[ENLACE]],"/","~",2))+1,LEN(Tabla1[[#This Row],[ENLACE]]))</f>
        <v>real-betis-balompie</v>
      </c>
      <c r="B499" s="2" t="s">
        <v>44</v>
      </c>
      <c r="C499" t="str">
        <f>_xlfn.TEXTBEFORE(_xlfn.TEXTAFTER(Tabla1[[#This Row],[ENLACE]],"/",1),"/")</f>
        <v>spain</v>
      </c>
      <c r="D499" t="str">
        <f>Tabla1[[#This Row],[PAIS]]</f>
        <v>spain</v>
      </c>
      <c r="E499" s="8" t="str">
        <f ca="1">IF(VLOOKUP(Tabla1[[#This Row],[DIVISION]],$H$2:$I$44,2)="X","SI","NO")</f>
        <v>SI</v>
      </c>
    </row>
    <row r="500" spans="1:5" x14ac:dyDescent="0.3">
      <c r="A500" t="str">
        <f>MID(Tabla1[[#This Row],[ENLACE]],FIND("~",SUBSTITUTE(Tabla1[[#This Row],[ENLACE]],"/","~",2))+1,LEN(Tabla1[[#This Row],[ENLACE]]))</f>
        <v>celta-vigo</v>
      </c>
      <c r="B500" s="5" t="s">
        <v>45</v>
      </c>
      <c r="C500" t="str">
        <f>_xlfn.TEXTBEFORE(_xlfn.TEXTAFTER(Tabla1[[#This Row],[ENLACE]],"/",1),"/")</f>
        <v>spain</v>
      </c>
      <c r="D500" t="str">
        <f>Tabla1[[#This Row],[PAIS]]</f>
        <v>spain</v>
      </c>
      <c r="E500" s="8" t="str">
        <f ca="1">IF(VLOOKUP(Tabla1[[#This Row],[DIVISION]],$H$2:$I$44,2)="X","SI","NO")</f>
        <v>SI</v>
      </c>
    </row>
    <row r="501" spans="1:5" x14ac:dyDescent="0.3">
      <c r="A501" t="str">
        <f>MID(Tabla1[[#This Row],[ENLACE]],FIND("~",SUBSTITUTE(Tabla1[[#This Row],[ENLACE]],"/","~",2))+1,LEN(Tabla1[[#This Row],[ENLACE]]))</f>
        <v>elche-cf</v>
      </c>
      <c r="B501" s="2" t="s">
        <v>470</v>
      </c>
      <c r="C501" t="str">
        <f>_xlfn.TEXTBEFORE(_xlfn.TEXTAFTER(Tabla1[[#This Row],[ENLACE]],"/",1),"/")</f>
        <v>spain</v>
      </c>
      <c r="D501" t="str">
        <f>Tabla1[[#This Row],[PAIS]]</f>
        <v>spain</v>
      </c>
      <c r="E501" s="8" t="str">
        <f ca="1">IF(VLOOKUP(Tabla1[[#This Row],[DIVISION]],$H$2:$I$44,2)="X","SI","NO")</f>
        <v>SI</v>
      </c>
    </row>
    <row r="502" spans="1:5" x14ac:dyDescent="0.3">
      <c r="A502" t="str">
        <f>MID(Tabla1[[#This Row],[ENLACE]],FIND("~",SUBSTITUTE(Tabla1[[#This Row],[ENLACE]],"/","~",2))+1,LEN(Tabla1[[#This Row],[ENLACE]]))</f>
        <v>rcd-espanyol</v>
      </c>
      <c r="B502" s="5" t="s">
        <v>46</v>
      </c>
      <c r="C502" t="str">
        <f>_xlfn.TEXTBEFORE(_xlfn.TEXTAFTER(Tabla1[[#This Row],[ENLACE]],"/",1),"/")</f>
        <v>spain</v>
      </c>
      <c r="D502" t="str">
        <f>Tabla1[[#This Row],[PAIS]]</f>
        <v>spain</v>
      </c>
      <c r="E502" s="8" t="str">
        <f ca="1">IF(VLOOKUP(Tabla1[[#This Row],[DIVISION]],$H$2:$I$44,2)="X","SI","NO")</f>
        <v>SI</v>
      </c>
    </row>
    <row r="503" spans="1:5" x14ac:dyDescent="0.3">
      <c r="A503" t="str">
        <f>MID(Tabla1[[#This Row],[ENLACE]],FIND("~",SUBSTITUTE(Tabla1[[#This Row],[ENLACE]],"/","~",2))+1,LEN(Tabla1[[#This Row],[ENLACE]]))</f>
        <v>getafe-cf</v>
      </c>
      <c r="B503" s="2" t="s">
        <v>47</v>
      </c>
      <c r="C503" t="str">
        <f>_xlfn.TEXTBEFORE(_xlfn.TEXTAFTER(Tabla1[[#This Row],[ENLACE]],"/",1),"/")</f>
        <v>spain</v>
      </c>
      <c r="D503" t="str">
        <f>Tabla1[[#This Row],[PAIS]]</f>
        <v>spain</v>
      </c>
      <c r="E503" s="8" t="str">
        <f ca="1">IF(VLOOKUP(Tabla1[[#This Row],[DIVISION]],$H$2:$I$44,2)="X","SI","NO")</f>
        <v>SI</v>
      </c>
    </row>
    <row r="504" spans="1:5" x14ac:dyDescent="0.3">
      <c r="A504" t="str">
        <f>MID(Tabla1[[#This Row],[ENLACE]],FIND("~",SUBSTITUTE(Tabla1[[#This Row],[ENLACE]],"/","~",2))+1,LEN(Tabla1[[#This Row],[ENLACE]]))</f>
        <v>levante-ud</v>
      </c>
      <c r="B504" s="5" t="s">
        <v>471</v>
      </c>
      <c r="C504" t="str">
        <f>_xlfn.TEXTBEFORE(_xlfn.TEXTAFTER(Tabla1[[#This Row],[ENLACE]],"/",1),"/")</f>
        <v>spain</v>
      </c>
      <c r="D504" t="str">
        <f>Tabla1[[#This Row],[PAIS]]</f>
        <v>spain</v>
      </c>
      <c r="E504" s="8" t="str">
        <f ca="1">IF(VLOOKUP(Tabla1[[#This Row],[DIVISION]],$H$2:$I$44,2)="X","SI","NO")</f>
        <v>SI</v>
      </c>
    </row>
    <row r="505" spans="1:5" x14ac:dyDescent="0.3">
      <c r="A505" t="str">
        <f>MID(Tabla1[[#This Row],[ENLACE]],FIND("~",SUBSTITUTE(Tabla1[[#This Row],[ENLACE]],"/","~",2))+1,LEN(Tabla1[[#This Row],[ENLACE]]))</f>
        <v>malaga-cf</v>
      </c>
      <c r="B505" s="2" t="s">
        <v>406</v>
      </c>
      <c r="C505" t="str">
        <f>_xlfn.TEXTBEFORE(_xlfn.TEXTAFTER(Tabla1[[#This Row],[ENLACE]],"/",1),"/")</f>
        <v>spain</v>
      </c>
      <c r="D505" t="str">
        <f>Tabla1[[#This Row],[PAIS]]</f>
        <v>spain</v>
      </c>
      <c r="E505" s="8" t="str">
        <f ca="1">IF(VLOOKUP(Tabla1[[#This Row],[DIVISION]],$H$2:$I$44,2)="X","SI","NO")</f>
        <v>SI</v>
      </c>
    </row>
    <row r="506" spans="1:5" x14ac:dyDescent="0.3">
      <c r="A506" t="str">
        <f>MID(Tabla1[[#This Row],[ENLACE]],FIND("~",SUBSTITUTE(Tabla1[[#This Row],[ENLACE]],"/","~",2))+1,LEN(Tabla1[[#This Row],[ENLACE]]))</f>
        <v>ca-osasuna</v>
      </c>
      <c r="B506" s="5" t="s">
        <v>52</v>
      </c>
      <c r="C506" t="str">
        <f>_xlfn.TEXTBEFORE(_xlfn.TEXTAFTER(Tabla1[[#This Row],[ENLACE]],"/",1),"/")</f>
        <v>spain</v>
      </c>
      <c r="D506" t="str">
        <f>Tabla1[[#This Row],[PAIS]]</f>
        <v>spain</v>
      </c>
      <c r="E506" s="8" t="str">
        <f ca="1">IF(VLOOKUP(Tabla1[[#This Row],[DIVISION]],$H$2:$I$44,2)="X","SI","NO")</f>
        <v>SI</v>
      </c>
    </row>
    <row r="507" spans="1:5" x14ac:dyDescent="0.3">
      <c r="A507" t="str">
        <f>MID(Tabla1[[#This Row],[ENLACE]],FIND("~",SUBSTITUTE(Tabla1[[#This Row],[ENLACE]],"/","~",2))+1,LEN(Tabla1[[#This Row],[ENLACE]]))</f>
        <v>racing-de-santander</v>
      </c>
      <c r="B507" s="2" t="s">
        <v>407</v>
      </c>
      <c r="C507" t="str">
        <f>_xlfn.TEXTBEFORE(_xlfn.TEXTAFTER(Tabla1[[#This Row],[ENLACE]],"/",1),"/")</f>
        <v>spain</v>
      </c>
      <c r="D507" t="str">
        <f>Tabla1[[#This Row],[PAIS]]</f>
        <v>spain</v>
      </c>
      <c r="E507" s="8" t="str">
        <f ca="1">IF(VLOOKUP(Tabla1[[#This Row],[DIVISION]],$H$2:$I$44,2)="X","SI","NO")</f>
        <v>SI</v>
      </c>
    </row>
    <row r="508" spans="1:5" x14ac:dyDescent="0.3">
      <c r="A508" t="str">
        <f>MID(Tabla1[[#This Row],[ENLACE]],FIND("~",SUBSTITUTE(Tabla1[[#This Row],[ENLACE]],"/","~",2))+1,LEN(Tabla1[[#This Row],[ENLACE]]))</f>
        <v>rayo-vallecano</v>
      </c>
      <c r="B508" s="5" t="s">
        <v>53</v>
      </c>
      <c r="C508" t="str">
        <f>_xlfn.TEXTBEFORE(_xlfn.TEXTAFTER(Tabla1[[#This Row],[ENLACE]],"/",1),"/")</f>
        <v>spain</v>
      </c>
      <c r="D508" t="str">
        <f>Tabla1[[#This Row],[PAIS]]</f>
        <v>spain</v>
      </c>
      <c r="E508" s="8" t="str">
        <f ca="1">IF(VLOOKUP(Tabla1[[#This Row],[DIVISION]],$H$2:$I$44,2)="X","SI","NO")</f>
        <v>SI</v>
      </c>
    </row>
    <row r="509" spans="1:5" x14ac:dyDescent="0.3">
      <c r="A509" t="str">
        <f>MID(Tabla1[[#This Row],[ENLACE]],FIND("~",SUBSTITUTE(Tabla1[[#This Row],[ENLACE]],"/","~",2))+1,LEN(Tabla1[[#This Row],[ENLACE]]))</f>
        <v>real-madrid-cf</v>
      </c>
      <c r="B509" s="2" t="s">
        <v>54</v>
      </c>
      <c r="C509" t="str">
        <f>_xlfn.TEXTBEFORE(_xlfn.TEXTAFTER(Tabla1[[#This Row],[ENLACE]],"/",1),"/")</f>
        <v>spain</v>
      </c>
      <c r="D509" t="str">
        <f>Tabla1[[#This Row],[PAIS]]</f>
        <v>spain</v>
      </c>
      <c r="E509" s="8" t="str">
        <f ca="1">IF(VLOOKUP(Tabla1[[#This Row],[DIVISION]],$H$2:$I$44,2)="X","SI","NO")</f>
        <v>SI</v>
      </c>
    </row>
    <row r="510" spans="1:5" x14ac:dyDescent="0.3">
      <c r="A510" t="str">
        <f>MID(Tabla1[[#This Row],[ENLACE]],FIND("~",SUBSTITUTE(Tabla1[[#This Row],[ENLACE]],"/","~",2))+1,LEN(Tabla1[[#This Row],[ENLACE]]))</f>
        <v>real-sociedad</v>
      </c>
      <c r="B510" s="5" t="s">
        <v>55</v>
      </c>
      <c r="C510" t="str">
        <f>_xlfn.TEXTBEFORE(_xlfn.TEXTAFTER(Tabla1[[#This Row],[ENLACE]],"/",1),"/")</f>
        <v>spain</v>
      </c>
      <c r="D510" t="str">
        <f>Tabla1[[#This Row],[PAIS]]</f>
        <v>spain</v>
      </c>
      <c r="E510" s="8" t="str">
        <f ca="1">IF(VLOOKUP(Tabla1[[#This Row],[DIVISION]],$H$2:$I$44,2)="X","SI","NO")</f>
        <v>SI</v>
      </c>
    </row>
    <row r="511" spans="1:5" x14ac:dyDescent="0.3">
      <c r="A511" t="str">
        <f>MID(Tabla1[[#This Row],[ENLACE]],FIND("~",SUBSTITUTE(Tabla1[[#This Row],[ENLACE]],"/","~",2))+1,LEN(Tabla1[[#This Row],[ENLACE]]))</f>
        <v>sevilla-fc</v>
      </c>
      <c r="B511" s="2" t="s">
        <v>56</v>
      </c>
      <c r="C511" t="str">
        <f>_xlfn.TEXTBEFORE(_xlfn.TEXTAFTER(Tabla1[[#This Row],[ENLACE]],"/",1),"/")</f>
        <v>spain</v>
      </c>
      <c r="D511" t="str">
        <f>Tabla1[[#This Row],[PAIS]]</f>
        <v>spain</v>
      </c>
      <c r="E511" s="8" t="str">
        <f ca="1">IF(VLOOKUP(Tabla1[[#This Row],[DIVISION]],$H$2:$I$44,2)="X","SI","NO")</f>
        <v>SI</v>
      </c>
    </row>
    <row r="512" spans="1:5" x14ac:dyDescent="0.3">
      <c r="A512" t="str">
        <f>MID(Tabla1[[#This Row],[ENLACE]],FIND("~",SUBSTITUTE(Tabla1[[#This Row],[ENLACE]],"/","~",2))+1,LEN(Tabla1[[#This Row],[ENLACE]]))</f>
        <v>valencia-cf</v>
      </c>
      <c r="B512" s="5" t="s">
        <v>57</v>
      </c>
      <c r="C512" t="str">
        <f>_xlfn.TEXTBEFORE(_xlfn.TEXTAFTER(Tabla1[[#This Row],[ENLACE]],"/",1),"/")</f>
        <v>spain</v>
      </c>
      <c r="D512" t="str">
        <f>Tabla1[[#This Row],[PAIS]]</f>
        <v>spain</v>
      </c>
      <c r="E512" s="8" t="str">
        <f ca="1">IF(VLOOKUP(Tabla1[[#This Row],[DIVISION]],$H$2:$I$44,2)="X","SI","NO")</f>
        <v>SI</v>
      </c>
    </row>
    <row r="513" spans="1:5" x14ac:dyDescent="0.3">
      <c r="A513" t="str">
        <f>MID(Tabla1[[#This Row],[ENLACE]],FIND("~",SUBSTITUTE(Tabla1[[#This Row],[ENLACE]],"/","~",2))+1,LEN(Tabla1[[#This Row],[ENLACE]]))</f>
        <v>villarreal-cf</v>
      </c>
      <c r="B513" s="2" t="s">
        <v>59</v>
      </c>
      <c r="C513" t="str">
        <f>_xlfn.TEXTBEFORE(_xlfn.TEXTAFTER(Tabla1[[#This Row],[ENLACE]],"/",1),"/")</f>
        <v>spain</v>
      </c>
      <c r="D513" t="str">
        <f>Tabla1[[#This Row],[PAIS]]</f>
        <v>spain</v>
      </c>
      <c r="E513" s="8" t="str">
        <f ca="1">IF(VLOOKUP(Tabla1[[#This Row],[DIVISION]],$H$2:$I$44,2)="X","SI","NO")</f>
        <v>SI</v>
      </c>
    </row>
    <row r="514" spans="1:5" x14ac:dyDescent="0.3">
      <c r="A514" t="str">
        <f>MID(Tabla1[[#This Row],[ENLACE]],FIND("~",SUBSTITUTE(Tabla1[[#This Row],[ENLACE]],"/","~",2))+1,LEN(Tabla1[[#This Row],[ENLACE]]))</f>
        <v>albacete-balompie</v>
      </c>
      <c r="B514" s="5" t="s">
        <v>397</v>
      </c>
      <c r="C514" t="str">
        <f>_xlfn.TEXTBEFORE(_xlfn.TEXTAFTER(Tabla1[[#This Row],[ENLACE]],"/",1),"/")</f>
        <v>spain</v>
      </c>
      <c r="D514" t="s">
        <v>574</v>
      </c>
      <c r="E514" s="8" t="str">
        <f ca="1">IF(VLOOKUP(Tabla1[[#This Row],[DIVISION]],$H$2:$I$44,2)="X","SI","NO")</f>
        <v>SI</v>
      </c>
    </row>
    <row r="515" spans="1:5" x14ac:dyDescent="0.3">
      <c r="A515" t="str">
        <f>MID(Tabla1[[#This Row],[ENLACE]],FIND("~",SUBSTITUTE(Tabla1[[#This Row],[ENLACE]],"/","~",2))+1,LEN(Tabla1[[#This Row],[ENLACE]]))</f>
        <v>ud-almeria</v>
      </c>
      <c r="B515" s="2" t="s">
        <v>398</v>
      </c>
      <c r="C515" t="str">
        <f>_xlfn.TEXTBEFORE(_xlfn.TEXTAFTER(Tabla1[[#This Row],[ENLACE]],"/",1),"/")</f>
        <v>spain</v>
      </c>
      <c r="D515" t="s">
        <v>574</v>
      </c>
      <c r="E515" s="8" t="str">
        <f ca="1">IF(VLOOKUP(Tabla1[[#This Row],[DIVISION]],$H$2:$I$44,2)="X","SI","NO")</f>
        <v>SI</v>
      </c>
    </row>
    <row r="516" spans="1:5" x14ac:dyDescent="0.3">
      <c r="A516" t="str">
        <f>MID(Tabla1[[#This Row],[ENLACE]],FIND("~",SUBSTITUTE(Tabla1[[#This Row],[ENLACE]],"/","~",2))+1,LEN(Tabla1[[#This Row],[ENLACE]]))</f>
        <v>fc-andorra</v>
      </c>
      <c r="B516" s="5" t="s">
        <v>462</v>
      </c>
      <c r="C516" t="str">
        <f>_xlfn.TEXTBEFORE(_xlfn.TEXTAFTER(Tabla1[[#This Row],[ENLACE]],"/",1),"/")</f>
        <v>spain</v>
      </c>
      <c r="D516" t="s">
        <v>574</v>
      </c>
      <c r="E516" s="8" t="str">
        <f ca="1">IF(VLOOKUP(Tabla1[[#This Row],[DIVISION]],$H$2:$I$44,2)="X","SI","NO")</f>
        <v>SI</v>
      </c>
    </row>
    <row r="517" spans="1:5" x14ac:dyDescent="0.3">
      <c r="A517" t="str">
        <f>MID(Tabla1[[#This Row],[ENLACE]],FIND("~",SUBSTITUTE(Tabla1[[#This Row],[ENLACE]],"/","~",2))+1,LEN(Tabla1[[#This Row],[ENLACE]]))</f>
        <v>burgos-cf</v>
      </c>
      <c r="B517" s="2" t="s">
        <v>399</v>
      </c>
      <c r="C517" t="str">
        <f>_xlfn.TEXTBEFORE(_xlfn.TEXTAFTER(Tabla1[[#This Row],[ENLACE]],"/",1),"/")</f>
        <v>spain</v>
      </c>
      <c r="D517" t="s">
        <v>574</v>
      </c>
      <c r="E517" s="8" t="str">
        <f ca="1">IF(VLOOKUP(Tabla1[[#This Row],[DIVISION]],$H$2:$I$44,2)="X","SI","NO")</f>
        <v>SI</v>
      </c>
    </row>
    <row r="518" spans="1:5" x14ac:dyDescent="0.3">
      <c r="A518" t="str">
        <f>MID(Tabla1[[#This Row],[ENLACE]],FIND("~",SUBSTITUTE(Tabla1[[#This Row],[ENLACE]],"/","~",2))+1,LEN(Tabla1[[#This Row],[ENLACE]]))</f>
        <v>cadiz-cf</v>
      </c>
      <c r="B518" s="5" t="s">
        <v>400</v>
      </c>
      <c r="C518" t="str">
        <f>_xlfn.TEXTBEFORE(_xlfn.TEXTAFTER(Tabla1[[#This Row],[ENLACE]],"/",1),"/")</f>
        <v>spain</v>
      </c>
      <c r="D518" t="s">
        <v>574</v>
      </c>
      <c r="E518" s="8" t="str">
        <f ca="1">IF(VLOOKUP(Tabla1[[#This Row],[DIVISION]],$H$2:$I$44,2)="X","SI","NO")</f>
        <v>SI</v>
      </c>
    </row>
    <row r="519" spans="1:5" x14ac:dyDescent="0.3">
      <c r="A519" t="str">
        <f>MID(Tabla1[[#This Row],[ENLACE]],FIND("~",SUBSTITUTE(Tabla1[[#This Row],[ENLACE]],"/","~",2))+1,LEN(Tabla1[[#This Row],[ENLACE]]))</f>
        <v>cd-castellon</v>
      </c>
      <c r="B519" s="2" t="s">
        <v>401</v>
      </c>
      <c r="C519" t="str">
        <f>_xlfn.TEXTBEFORE(_xlfn.TEXTAFTER(Tabla1[[#This Row],[ENLACE]],"/",1),"/")</f>
        <v>spain</v>
      </c>
      <c r="D519" t="s">
        <v>574</v>
      </c>
      <c r="E519" s="8" t="str">
        <f ca="1">IF(VLOOKUP(Tabla1[[#This Row],[DIVISION]],$H$2:$I$44,2)="X","SI","NO")</f>
        <v>SI</v>
      </c>
    </row>
    <row r="520" spans="1:5" x14ac:dyDescent="0.3">
      <c r="A520" t="str">
        <f>MID(Tabla1[[#This Row],[ENLACE]],FIND("~",SUBSTITUTE(Tabla1[[#This Row],[ENLACE]],"/","~",2))+1,LEN(Tabla1[[#This Row],[ENLACE]]))</f>
        <v>celta-de-vigo-b</v>
      </c>
      <c r="B520" s="5" t="s">
        <v>610</v>
      </c>
      <c r="C520" t="str">
        <f>_xlfn.TEXTBEFORE(_xlfn.TEXTAFTER(Tabla1[[#This Row],[ENLACE]],"/",1),"/")</f>
        <v>spain</v>
      </c>
      <c r="D520" t="s">
        <v>574</v>
      </c>
      <c r="E520" s="8" t="str">
        <f ca="1">IF(VLOOKUP(Tabla1[[#This Row],[DIVISION]],$H$2:$I$44,2)="X","SI","NO")</f>
        <v>SI</v>
      </c>
    </row>
    <row r="521" spans="1:5" x14ac:dyDescent="0.3">
      <c r="A521" t="str">
        <f>MID(Tabla1[[#This Row],[ENLACE]],FIND("~",SUBSTITUTE(Tabla1[[#This Row],[ENLACE]],"/","~",2))+1,LEN(Tabla1[[#This Row],[ENLACE]]))</f>
        <v>ad-ceuta-fc</v>
      </c>
      <c r="B521" s="2" t="s">
        <v>463</v>
      </c>
      <c r="C521" t="str">
        <f>_xlfn.TEXTBEFORE(_xlfn.TEXTAFTER(Tabla1[[#This Row],[ENLACE]],"/",1),"/")</f>
        <v>spain</v>
      </c>
      <c r="D521" t="s">
        <v>574</v>
      </c>
      <c r="E521" s="8" t="str">
        <f ca="1">IF(VLOOKUP(Tabla1[[#This Row],[DIVISION]],$H$2:$I$44,2)="X","SI","NO")</f>
        <v>SI</v>
      </c>
    </row>
    <row r="522" spans="1:5" x14ac:dyDescent="0.3">
      <c r="A522" t="str">
        <f>MID(Tabla1[[#This Row],[ENLACE]],FIND("~",SUBSTITUTE(Tabla1[[#This Row],[ENLACE]],"/","~",2))+1,LEN(Tabla1[[#This Row],[ENLACE]]))</f>
        <v>cordoba-cf</v>
      </c>
      <c r="B522" s="5" t="s">
        <v>402</v>
      </c>
      <c r="C522" t="str">
        <f>_xlfn.TEXTBEFORE(_xlfn.TEXTAFTER(Tabla1[[#This Row],[ENLACE]],"/",1),"/")</f>
        <v>spain</v>
      </c>
      <c r="D522" t="s">
        <v>574</v>
      </c>
      <c r="E522" s="8" t="str">
        <f ca="1">IF(VLOOKUP(Tabla1[[#This Row],[DIVISION]],$H$2:$I$44,2)="X","SI","NO")</f>
        <v>SI</v>
      </c>
    </row>
    <row r="523" spans="1:5" x14ac:dyDescent="0.3">
      <c r="A523" t="str">
        <f>MID(Tabla1[[#This Row],[ENLACE]],FIND("~",SUBSTITUTE(Tabla1[[#This Row],[ENLACE]],"/","~",2))+1,LEN(Tabla1[[#This Row],[ENLACE]]))</f>
        <v>sd-eibar</v>
      </c>
      <c r="B523" s="2" t="s">
        <v>403</v>
      </c>
      <c r="C523" t="str">
        <f>_xlfn.TEXTBEFORE(_xlfn.TEXTAFTER(Tabla1[[#This Row],[ENLACE]],"/",1),"/")</f>
        <v>spain</v>
      </c>
      <c r="D523" t="s">
        <v>574</v>
      </c>
      <c r="E523" s="8" t="str">
        <f ca="1">IF(VLOOKUP(Tabla1[[#This Row],[DIVISION]],$H$2:$I$44,2)="X","SI","NO")</f>
        <v>SI</v>
      </c>
    </row>
    <row r="524" spans="1:5" x14ac:dyDescent="0.3">
      <c r="A524" t="str">
        <f>MID(Tabla1[[#This Row],[ENLACE]],FIND("~",SUBSTITUTE(Tabla1[[#This Row],[ENLACE]],"/","~",2))+1,LEN(Tabla1[[#This Row],[ENLACE]]))</f>
        <v>cd-eldense</v>
      </c>
      <c r="B524" s="5" t="s">
        <v>611</v>
      </c>
      <c r="C524" t="str">
        <f>_xlfn.TEXTBEFORE(_xlfn.TEXTAFTER(Tabla1[[#This Row],[ENLACE]],"/",1),"/")</f>
        <v>spain</v>
      </c>
      <c r="D524" t="s">
        <v>574</v>
      </c>
      <c r="E524" s="8" t="str">
        <f ca="1">IF(VLOOKUP(Tabla1[[#This Row],[DIVISION]],$H$2:$I$44,2)="X","SI","NO")</f>
        <v>SI</v>
      </c>
    </row>
    <row r="525" spans="1:5" x14ac:dyDescent="0.3">
      <c r="A525" t="str">
        <f>MID(Tabla1[[#This Row],[ENLACE]],FIND("~",SUBSTITUTE(Tabla1[[#This Row],[ENLACE]],"/","~",2))+1,LEN(Tabla1[[#This Row],[ENLACE]]))</f>
        <v>sporting-de-gijon</v>
      </c>
      <c r="B525" s="2" t="s">
        <v>404</v>
      </c>
      <c r="C525" t="str">
        <f>_xlfn.TEXTBEFORE(_xlfn.TEXTAFTER(Tabla1[[#This Row],[ENLACE]],"/",1),"/")</f>
        <v>spain</v>
      </c>
      <c r="D525" t="s">
        <v>574</v>
      </c>
      <c r="E525" s="8" t="str">
        <f ca="1">IF(VLOOKUP(Tabla1[[#This Row],[DIVISION]],$H$2:$I$44,2)="X","SI","NO")</f>
        <v>SI</v>
      </c>
    </row>
    <row r="526" spans="1:5" x14ac:dyDescent="0.3">
      <c r="A526" t="str">
        <f>MID(Tabla1[[#This Row],[ENLACE]],FIND("~",SUBSTITUTE(Tabla1[[#This Row],[ENLACE]],"/","~",2))+1,LEN(Tabla1[[#This Row],[ENLACE]]))</f>
        <v>girona-fc</v>
      </c>
      <c r="B526" s="5" t="s">
        <v>48</v>
      </c>
      <c r="C526" t="str">
        <f>_xlfn.TEXTBEFORE(_xlfn.TEXTAFTER(Tabla1[[#This Row],[ENLACE]],"/",1),"/")</f>
        <v>spain</v>
      </c>
      <c r="D526" t="s">
        <v>574</v>
      </c>
      <c r="E526" s="8" t="str">
        <f ca="1">IF(VLOOKUP(Tabla1[[#This Row],[DIVISION]],$H$2:$I$44,2)="X","SI","NO")</f>
        <v>SI</v>
      </c>
    </row>
    <row r="527" spans="1:5" x14ac:dyDescent="0.3">
      <c r="A527" t="str">
        <f>MID(Tabla1[[#This Row],[ENLACE]],FIND("~",SUBSTITUTE(Tabla1[[#This Row],[ENLACE]],"/","~",2))+1,LEN(Tabla1[[#This Row],[ENLACE]]))</f>
        <v>granada-cf</v>
      </c>
      <c r="B527" s="2" t="s">
        <v>405</v>
      </c>
      <c r="C527" t="str">
        <f>_xlfn.TEXTBEFORE(_xlfn.TEXTAFTER(Tabla1[[#This Row],[ENLACE]],"/",1),"/")</f>
        <v>spain</v>
      </c>
      <c r="D527" t="s">
        <v>574</v>
      </c>
      <c r="E527" s="8" t="str">
        <f ca="1">IF(VLOOKUP(Tabla1[[#This Row],[DIVISION]],$H$2:$I$44,2)="X","SI","NO")</f>
        <v>SI</v>
      </c>
    </row>
    <row r="528" spans="1:5" x14ac:dyDescent="0.3">
      <c r="A528" t="str">
        <f>MID(Tabla1[[#This Row],[ENLACE]],FIND("~",SUBSTITUTE(Tabla1[[#This Row],[ENLACE]],"/","~",2))+1,LEN(Tabla1[[#This Row],[ENLACE]]))</f>
        <v>ud-las-palmas</v>
      </c>
      <c r="B528" s="5" t="s">
        <v>49</v>
      </c>
      <c r="C528" t="str">
        <f>_xlfn.TEXTBEFORE(_xlfn.TEXTAFTER(Tabla1[[#This Row],[ENLACE]],"/",1),"/")</f>
        <v>spain</v>
      </c>
      <c r="D528" t="s">
        <v>574</v>
      </c>
      <c r="E528" s="8" t="str">
        <f ca="1">IF(VLOOKUP(Tabla1[[#This Row],[DIVISION]],$H$2:$I$44,2)="X","SI","NO")</f>
        <v>SI</v>
      </c>
    </row>
    <row r="529" spans="1:5" x14ac:dyDescent="0.3">
      <c r="A529" t="str">
        <f>MID(Tabla1[[#This Row],[ENLACE]],FIND("~",SUBSTITUTE(Tabla1[[#This Row],[ENLACE]],"/","~",2))+1,LEN(Tabla1[[#This Row],[ENLACE]]))</f>
        <v>cd-leganes</v>
      </c>
      <c r="B529" s="2" t="s">
        <v>50</v>
      </c>
      <c r="C529" t="str">
        <f>_xlfn.TEXTBEFORE(_xlfn.TEXTAFTER(Tabla1[[#This Row],[ENLACE]],"/",1),"/")</f>
        <v>spain</v>
      </c>
      <c r="D529" t="s">
        <v>574</v>
      </c>
      <c r="E529" s="8" t="str">
        <f ca="1">IF(VLOOKUP(Tabla1[[#This Row],[DIVISION]],$H$2:$I$44,2)="X","SI","NO")</f>
        <v>SI</v>
      </c>
    </row>
    <row r="530" spans="1:5" x14ac:dyDescent="0.3">
      <c r="A530" t="str">
        <f>MID(Tabla1[[#This Row],[ENLACE]],FIND("~",SUBSTITUTE(Tabla1[[#This Row],[ENLACE]],"/","~",2))+1,LEN(Tabla1[[#This Row],[ENLACE]]))</f>
        <v>rcd-mallorca</v>
      </c>
      <c r="B530" s="5" t="s">
        <v>51</v>
      </c>
      <c r="C530" t="str">
        <f>_xlfn.TEXTBEFORE(_xlfn.TEXTAFTER(Tabla1[[#This Row],[ENLACE]],"/",1),"/")</f>
        <v>spain</v>
      </c>
      <c r="D530" t="s">
        <v>574</v>
      </c>
      <c r="E530" s="8" t="str">
        <f ca="1">IF(VLOOKUP(Tabla1[[#This Row],[DIVISION]],$H$2:$I$44,2)="X","SI","NO")</f>
        <v>SI</v>
      </c>
    </row>
    <row r="531" spans="1:5" x14ac:dyDescent="0.3">
      <c r="A531" t="str">
        <f>MID(Tabla1[[#This Row],[ENLACE]],FIND("~",SUBSTITUTE(Tabla1[[#This Row],[ENLACE]],"/","~",2))+1,LEN(Tabla1[[#This Row],[ENLACE]]))</f>
        <v>real-oviedo</v>
      </c>
      <c r="B531" s="2" t="s">
        <v>472</v>
      </c>
      <c r="C531" t="str">
        <f>_xlfn.TEXTBEFORE(_xlfn.TEXTAFTER(Tabla1[[#This Row],[ENLACE]],"/",1),"/")</f>
        <v>spain</v>
      </c>
      <c r="D531" t="s">
        <v>574</v>
      </c>
      <c r="E531" s="8" t="str">
        <f ca="1">IF(VLOOKUP(Tabla1[[#This Row],[DIVISION]],$H$2:$I$44,2)="X","SI","NO")</f>
        <v>SI</v>
      </c>
    </row>
    <row r="532" spans="1:5" x14ac:dyDescent="0.3">
      <c r="A532" t="str">
        <f>MID(Tabla1[[#This Row],[ENLACE]],FIND("~",SUBSTITUTE(Tabla1[[#This Row],[ENLACE]],"/","~",2))+1,LEN(Tabla1[[#This Row],[ENLACE]]))</f>
        <v>real-sociedad-b</v>
      </c>
      <c r="B532" s="5" t="s">
        <v>464</v>
      </c>
      <c r="C532" t="str">
        <f>_xlfn.TEXTBEFORE(_xlfn.TEXTAFTER(Tabla1[[#This Row],[ENLACE]],"/",1),"/")</f>
        <v>spain</v>
      </c>
      <c r="D532" t="s">
        <v>574</v>
      </c>
      <c r="E532" s="8" t="str">
        <f ca="1">IF(VLOOKUP(Tabla1[[#This Row],[DIVISION]],$H$2:$I$44,2)="X","SI","NO")</f>
        <v>SI</v>
      </c>
    </row>
    <row r="533" spans="1:5" x14ac:dyDescent="0.3">
      <c r="A533" t="str">
        <f>MID(Tabla1[[#This Row],[ENLACE]],FIND("~",SUBSTITUTE(Tabla1[[#This Row],[ENLACE]],"/","~",2))+1,LEN(Tabla1[[#This Row],[ENLACE]]))</f>
        <v>ce-sabadell-fc</v>
      </c>
      <c r="B533" s="2" t="s">
        <v>612</v>
      </c>
      <c r="C533" t="str">
        <f>_xlfn.TEXTBEFORE(_xlfn.TEXTAFTER(Tabla1[[#This Row],[ENLACE]],"/",1),"/")</f>
        <v>spain</v>
      </c>
      <c r="D533" t="s">
        <v>574</v>
      </c>
      <c r="E533" s="8" t="str">
        <f ca="1">IF(VLOOKUP(Tabla1[[#This Row],[DIVISION]],$H$2:$I$44,2)="X","SI","NO")</f>
        <v>SI</v>
      </c>
    </row>
    <row r="534" spans="1:5" x14ac:dyDescent="0.3">
      <c r="A534" t="str">
        <f>MID(Tabla1[[#This Row],[ENLACE]],FIND("~",SUBSTITUTE(Tabla1[[#This Row],[ENLACE]],"/","~",2))+1,LEN(Tabla1[[#This Row],[ENLACE]]))</f>
        <v>cd-tenerife</v>
      </c>
      <c r="B534" s="5" t="s">
        <v>613</v>
      </c>
      <c r="C534" t="str">
        <f>_xlfn.TEXTBEFORE(_xlfn.TEXTAFTER(Tabla1[[#This Row],[ENLACE]],"/",1),"/")</f>
        <v>spain</v>
      </c>
      <c r="D534" t="s">
        <v>574</v>
      </c>
      <c r="E534" s="8" t="str">
        <f ca="1">IF(VLOOKUP(Tabla1[[#This Row],[DIVISION]],$H$2:$I$44,2)="X","SI","NO")</f>
        <v>SI</v>
      </c>
    </row>
    <row r="535" spans="1:5" x14ac:dyDescent="0.3">
      <c r="A535" t="str">
        <f>MID(Tabla1[[#This Row],[ENLACE]],FIND("~",SUBSTITUTE(Tabla1[[#This Row],[ENLACE]],"/","~",2))+1,LEN(Tabla1[[#This Row],[ENLACE]]))</f>
        <v>real-valladolid</v>
      </c>
      <c r="B535" s="2" t="s">
        <v>58</v>
      </c>
      <c r="C535" t="str">
        <f>_xlfn.TEXTBEFORE(_xlfn.TEXTAFTER(Tabla1[[#This Row],[ENLACE]],"/",1),"/")</f>
        <v>spain</v>
      </c>
      <c r="D535" t="s">
        <v>574</v>
      </c>
      <c r="E535" s="8" t="str">
        <f ca="1">IF(VLOOKUP(Tabla1[[#This Row],[DIVISION]],$H$2:$I$44,2)="X","SI","NO")</f>
        <v>SI</v>
      </c>
    </row>
    <row r="536" spans="1:5" x14ac:dyDescent="0.3">
      <c r="A536" t="str">
        <f>MID(Tabla1[[#This Row],[ENLACE]],FIND("~",SUBSTITUTE(Tabla1[[#This Row],[ENLACE]],"/","~",2))+1,LEN(Tabla1[[#This Row],[ENLACE]]))</f>
        <v>aik</v>
      </c>
      <c r="B536" s="5" t="s">
        <v>408</v>
      </c>
      <c r="C536" t="str">
        <f>_xlfn.TEXTBEFORE(_xlfn.TEXTAFTER(Tabla1[[#This Row],[ENLACE]],"/",1),"/")</f>
        <v>sweden</v>
      </c>
      <c r="D536" t="str">
        <f>Tabla1[[#This Row],[PAIS]]</f>
        <v>sweden</v>
      </c>
      <c r="E536" s="8" t="str">
        <f ca="1">IF(VLOOKUP(Tabla1[[#This Row],[DIVISION]],$H$2:$I$44,2)="X","SI","NO")</f>
        <v>SI</v>
      </c>
    </row>
    <row r="537" spans="1:5" x14ac:dyDescent="0.3">
      <c r="A537" t="str">
        <f>MID(Tabla1[[#This Row],[ENLACE]],FIND("~",SUBSTITUTE(Tabla1[[#This Row],[ENLACE]],"/","~",2))+1,LEN(Tabla1[[#This Row],[ENLACE]]))</f>
        <v>if-brommapojkarna</v>
      </c>
      <c r="B537" s="2" t="s">
        <v>409</v>
      </c>
      <c r="C537" t="str">
        <f>_xlfn.TEXTBEFORE(_xlfn.TEXTAFTER(Tabla1[[#This Row],[ENLACE]],"/",1),"/")</f>
        <v>sweden</v>
      </c>
      <c r="D537" t="str">
        <f>Tabla1[[#This Row],[PAIS]]</f>
        <v>sweden</v>
      </c>
      <c r="E537" s="8" t="str">
        <f ca="1">IF(VLOOKUP(Tabla1[[#This Row],[DIVISION]],$H$2:$I$44,2)="X","SI","NO")</f>
        <v>SI</v>
      </c>
    </row>
    <row r="538" spans="1:5" x14ac:dyDescent="0.3">
      <c r="A538" t="str">
        <f>MID(Tabla1[[#This Row],[ENLACE]],FIND("~",SUBSTITUTE(Tabla1[[#This Row],[ENLACE]],"/","~",2))+1,LEN(Tabla1[[#This Row],[ENLACE]]))</f>
        <v>degerfors-if</v>
      </c>
      <c r="B538" s="5" t="s">
        <v>410</v>
      </c>
      <c r="C538" t="str">
        <f>_xlfn.TEXTBEFORE(_xlfn.TEXTAFTER(Tabla1[[#This Row],[ENLACE]],"/",1),"/")</f>
        <v>sweden</v>
      </c>
      <c r="D538" t="str">
        <f>Tabla1[[#This Row],[PAIS]]</f>
        <v>sweden</v>
      </c>
      <c r="E538" s="8" t="str">
        <f ca="1">IF(VLOOKUP(Tabla1[[#This Row],[DIVISION]],$H$2:$I$44,2)="X","SI","NO")</f>
        <v>SI</v>
      </c>
    </row>
    <row r="539" spans="1:5" x14ac:dyDescent="0.3">
      <c r="A539" t="str">
        <f>MID(Tabla1[[#This Row],[ENLACE]],FIND("~",SUBSTITUTE(Tabla1[[#This Row],[ENLACE]],"/","~",2))+1,LEN(Tabla1[[#This Row],[ENLACE]]))</f>
        <v>djurgardens-if</v>
      </c>
      <c r="B539" s="2" t="s">
        <v>411</v>
      </c>
      <c r="C539" t="str">
        <f>_xlfn.TEXTBEFORE(_xlfn.TEXTAFTER(Tabla1[[#This Row],[ENLACE]],"/",1),"/")</f>
        <v>sweden</v>
      </c>
      <c r="D539" t="str">
        <f>Tabla1[[#This Row],[PAIS]]</f>
        <v>sweden</v>
      </c>
      <c r="E539" s="8" t="str">
        <f ca="1">IF(VLOOKUP(Tabla1[[#This Row],[DIVISION]],$H$2:$I$44,2)="X","SI","NO")</f>
        <v>SI</v>
      </c>
    </row>
    <row r="540" spans="1:5" x14ac:dyDescent="0.3">
      <c r="A540" t="str">
        <f>MID(Tabla1[[#This Row],[ENLACE]],FIND("~",SUBSTITUTE(Tabla1[[#This Row],[ENLACE]],"/","~",2))+1,LEN(Tabla1[[#This Row],[ENLACE]]))</f>
        <v>if-elfsborg</v>
      </c>
      <c r="B540" s="5" t="s">
        <v>412</v>
      </c>
      <c r="C540" t="str">
        <f>_xlfn.TEXTBEFORE(_xlfn.TEXTAFTER(Tabla1[[#This Row],[ENLACE]],"/",1),"/")</f>
        <v>sweden</v>
      </c>
      <c r="D540" t="str">
        <f>Tabla1[[#This Row],[PAIS]]</f>
        <v>sweden</v>
      </c>
      <c r="E540" s="8" t="str">
        <f ca="1">IF(VLOOKUP(Tabla1[[#This Row],[DIVISION]],$H$2:$I$44,2)="X","SI","NO")</f>
        <v>SI</v>
      </c>
    </row>
    <row r="541" spans="1:5" x14ac:dyDescent="0.3">
      <c r="A541" t="str">
        <f>MID(Tabla1[[#This Row],[ENLACE]],FIND("~",SUBSTITUTE(Tabla1[[#This Row],[ENLACE]],"/","~",2))+1,LEN(Tabla1[[#This Row],[ENLACE]]))</f>
        <v>gais</v>
      </c>
      <c r="B541" s="2" t="s">
        <v>413</v>
      </c>
      <c r="C541" t="str">
        <f>_xlfn.TEXTBEFORE(_xlfn.TEXTAFTER(Tabla1[[#This Row],[ENLACE]],"/",1),"/")</f>
        <v>sweden</v>
      </c>
      <c r="D541" t="str">
        <f>Tabla1[[#This Row],[PAIS]]</f>
        <v>sweden</v>
      </c>
      <c r="E541" s="8" t="str">
        <f ca="1">IF(VLOOKUP(Tabla1[[#This Row],[DIVISION]],$H$2:$I$44,2)="X","SI","NO")</f>
        <v>SI</v>
      </c>
    </row>
    <row r="542" spans="1:5" x14ac:dyDescent="0.3">
      <c r="A542" t="str">
        <f>MID(Tabla1[[#This Row],[ENLACE]],FIND("~",SUBSTITUTE(Tabla1[[#This Row],[ENLACE]],"/","~",2))+1,LEN(Tabla1[[#This Row],[ENLACE]]))</f>
        <v>ifk-goteborg</v>
      </c>
      <c r="B542" s="5" t="s">
        <v>414</v>
      </c>
      <c r="C542" t="str">
        <f>_xlfn.TEXTBEFORE(_xlfn.TEXTAFTER(Tabla1[[#This Row],[ENLACE]],"/",1),"/")</f>
        <v>sweden</v>
      </c>
      <c r="D542" t="str">
        <f>Tabla1[[#This Row],[PAIS]]</f>
        <v>sweden</v>
      </c>
      <c r="E542" s="8" t="str">
        <f ca="1">IF(VLOOKUP(Tabla1[[#This Row],[DIVISION]],$H$2:$I$44,2)="X","SI","NO")</f>
        <v>SI</v>
      </c>
    </row>
    <row r="543" spans="1:5" x14ac:dyDescent="0.3">
      <c r="A543" t="str">
        <f>MID(Tabla1[[#This Row],[ENLACE]],FIND("~",SUBSTITUTE(Tabla1[[#This Row],[ENLACE]],"/","~",2))+1,LEN(Tabla1[[#This Row],[ENLACE]]))</f>
        <v>bk-hacken</v>
      </c>
      <c r="B543" s="2" t="s">
        <v>415</v>
      </c>
      <c r="C543" t="str">
        <f>_xlfn.TEXTBEFORE(_xlfn.TEXTAFTER(Tabla1[[#This Row],[ENLACE]],"/",1),"/")</f>
        <v>sweden</v>
      </c>
      <c r="D543" t="str">
        <f>Tabla1[[#This Row],[PAIS]]</f>
        <v>sweden</v>
      </c>
      <c r="E543" s="8" t="str">
        <f ca="1">IF(VLOOKUP(Tabla1[[#This Row],[DIVISION]],$H$2:$I$44,2)="X","SI","NO")</f>
        <v>SI</v>
      </c>
    </row>
    <row r="544" spans="1:5" x14ac:dyDescent="0.3">
      <c r="A544" t="str">
        <f>MID(Tabla1[[#This Row],[ENLACE]],FIND("~",SUBSTITUTE(Tabla1[[#This Row],[ENLACE]],"/","~",2))+1,LEN(Tabla1[[#This Row],[ENLACE]]))</f>
        <v>halmstads-bk</v>
      </c>
      <c r="B544" s="5" t="s">
        <v>416</v>
      </c>
      <c r="C544" t="str">
        <f>_xlfn.TEXTBEFORE(_xlfn.TEXTAFTER(Tabla1[[#This Row],[ENLACE]],"/",1),"/")</f>
        <v>sweden</v>
      </c>
      <c r="D544" t="str">
        <f>Tabla1[[#This Row],[PAIS]]</f>
        <v>sweden</v>
      </c>
      <c r="E544" s="8" t="str">
        <f ca="1">IF(VLOOKUP(Tabla1[[#This Row],[DIVISION]],$H$2:$I$44,2)="X","SI","NO")</f>
        <v>SI</v>
      </c>
    </row>
    <row r="545" spans="1:5" x14ac:dyDescent="0.3">
      <c r="A545" t="str">
        <f>MID(Tabla1[[#This Row],[ENLACE]],FIND("~",SUBSTITUTE(Tabla1[[#This Row],[ENLACE]],"/","~",2))+1,LEN(Tabla1[[#This Row],[ENLACE]]))</f>
        <v>hammarby-if</v>
      </c>
      <c r="B545" s="2" t="s">
        <v>417</v>
      </c>
      <c r="C545" t="str">
        <f>_xlfn.TEXTBEFORE(_xlfn.TEXTAFTER(Tabla1[[#This Row],[ENLACE]],"/",1),"/")</f>
        <v>sweden</v>
      </c>
      <c r="D545" t="str">
        <f>Tabla1[[#This Row],[PAIS]]</f>
        <v>sweden</v>
      </c>
      <c r="E545" s="8" t="str">
        <f ca="1">IF(VLOOKUP(Tabla1[[#This Row],[DIVISION]],$H$2:$I$44,2)="X","SI","NO")</f>
        <v>SI</v>
      </c>
    </row>
    <row r="546" spans="1:5" x14ac:dyDescent="0.3">
      <c r="A546" t="str">
        <f>MID(Tabla1[[#This Row],[ENLACE]],FIND("~",SUBSTITUTE(Tabla1[[#This Row],[ENLACE]],"/","~",2))+1,LEN(Tabla1[[#This Row],[ENLACE]]))</f>
        <v>kalmar-ff</v>
      </c>
      <c r="B546" s="5" t="s">
        <v>540</v>
      </c>
      <c r="C546" t="str">
        <f>_xlfn.TEXTBEFORE(_xlfn.TEXTAFTER(Tabla1[[#This Row],[ENLACE]],"/",1),"/")</f>
        <v>sweden</v>
      </c>
      <c r="D546" t="str">
        <f>Tabla1[[#This Row],[PAIS]]</f>
        <v>sweden</v>
      </c>
      <c r="E546" s="8" t="str">
        <f ca="1">IF(VLOOKUP(Tabla1[[#This Row],[DIVISION]],$H$2:$I$44,2)="X","SI","NO")</f>
        <v>SI</v>
      </c>
    </row>
    <row r="547" spans="1:5" x14ac:dyDescent="0.3">
      <c r="A547" t="str">
        <f>MID(Tabla1[[#This Row],[ENLACE]],FIND("~",SUBSTITUTE(Tabla1[[#This Row],[ENLACE]],"/","~",2))+1,LEN(Tabla1[[#This Row],[ENLACE]]))</f>
        <v>malmo-ff</v>
      </c>
      <c r="B547" s="2" t="s">
        <v>418</v>
      </c>
      <c r="C547" t="str">
        <f>_xlfn.TEXTBEFORE(_xlfn.TEXTAFTER(Tabla1[[#This Row],[ENLACE]],"/",1),"/")</f>
        <v>sweden</v>
      </c>
      <c r="D547" t="str">
        <f>Tabla1[[#This Row],[PAIS]]</f>
        <v>sweden</v>
      </c>
      <c r="E547" s="8" t="str">
        <f ca="1">IF(VLOOKUP(Tabla1[[#This Row],[DIVISION]],$H$2:$I$44,2)="X","SI","NO")</f>
        <v>SI</v>
      </c>
    </row>
    <row r="548" spans="1:5" x14ac:dyDescent="0.3">
      <c r="A548" t="str">
        <f>MID(Tabla1[[#This Row],[ENLACE]],FIND("~",SUBSTITUTE(Tabla1[[#This Row],[ENLACE]],"/","~",2))+1,LEN(Tabla1[[#This Row],[ENLACE]]))</f>
        <v>mjallby-aif</v>
      </c>
      <c r="B548" s="5" t="s">
        <v>419</v>
      </c>
      <c r="C548" t="str">
        <f>_xlfn.TEXTBEFORE(_xlfn.TEXTAFTER(Tabla1[[#This Row],[ENLACE]],"/",1),"/")</f>
        <v>sweden</v>
      </c>
      <c r="D548" t="str">
        <f>Tabla1[[#This Row],[PAIS]]</f>
        <v>sweden</v>
      </c>
      <c r="E548" s="8" t="str">
        <f ca="1">IF(VLOOKUP(Tabla1[[#This Row],[DIVISION]],$H$2:$I$44,2)="X","SI","NO")</f>
        <v>SI</v>
      </c>
    </row>
    <row r="549" spans="1:5" x14ac:dyDescent="0.3">
      <c r="A549" t="str">
        <f>MID(Tabla1[[#This Row],[ENLACE]],FIND("~",SUBSTITUTE(Tabla1[[#This Row],[ENLACE]],"/","~",2))+1,LEN(Tabla1[[#This Row],[ENLACE]]))</f>
        <v>orgryte-is</v>
      </c>
      <c r="B549" s="2" t="s">
        <v>541</v>
      </c>
      <c r="C549" t="str">
        <f>_xlfn.TEXTBEFORE(_xlfn.TEXTAFTER(Tabla1[[#This Row],[ENLACE]],"/",1),"/")</f>
        <v>sweden</v>
      </c>
      <c r="D549" t="str">
        <f>Tabla1[[#This Row],[PAIS]]</f>
        <v>sweden</v>
      </c>
      <c r="E549" s="8" t="str">
        <f ca="1">IF(VLOOKUP(Tabla1[[#This Row],[DIVISION]],$H$2:$I$44,2)="X","SI","NO")</f>
        <v>SI</v>
      </c>
    </row>
    <row r="550" spans="1:5" x14ac:dyDescent="0.3">
      <c r="A550" t="str">
        <f>MID(Tabla1[[#This Row],[ENLACE]],FIND("~",SUBSTITUTE(Tabla1[[#This Row],[ENLACE]],"/","~",2))+1,LEN(Tabla1[[#This Row],[ENLACE]]))</f>
        <v>ik-sirius</v>
      </c>
      <c r="B550" s="5" t="s">
        <v>420</v>
      </c>
      <c r="C550" t="str">
        <f>_xlfn.TEXTBEFORE(_xlfn.TEXTAFTER(Tabla1[[#This Row],[ENLACE]],"/",1),"/")</f>
        <v>sweden</v>
      </c>
      <c r="D550" t="str">
        <f>Tabla1[[#This Row],[PAIS]]</f>
        <v>sweden</v>
      </c>
      <c r="E550" s="8" t="str">
        <f ca="1">IF(VLOOKUP(Tabla1[[#This Row],[DIVISION]],$H$2:$I$44,2)="X","SI","NO")</f>
        <v>SI</v>
      </c>
    </row>
    <row r="551" spans="1:5" x14ac:dyDescent="0.3">
      <c r="A551" t="str">
        <f>MID(Tabla1[[#This Row],[ENLACE]],FIND("~",SUBSTITUTE(Tabla1[[#This Row],[ENLACE]],"/","~",2))+1,LEN(Tabla1[[#This Row],[ENLACE]]))</f>
        <v>vasteras-sk</v>
      </c>
      <c r="B551" s="2" t="s">
        <v>542</v>
      </c>
      <c r="C551" t="str">
        <f>_xlfn.TEXTBEFORE(_xlfn.TEXTAFTER(Tabla1[[#This Row],[ENLACE]],"/",1),"/")</f>
        <v>sweden</v>
      </c>
      <c r="D551" t="str">
        <f>Tabla1[[#This Row],[PAIS]]</f>
        <v>sweden</v>
      </c>
      <c r="E551" s="8" t="str">
        <f ca="1">IF(VLOOKUP(Tabla1[[#This Row],[DIVISION]],$H$2:$I$44,2)="X","SI","NO")</f>
        <v>SI</v>
      </c>
    </row>
    <row r="552" spans="1:5" x14ac:dyDescent="0.3">
      <c r="A552" t="str">
        <f>MID(Tabla1[[#This Row],[ENLACE]],FIND("~",SUBSTITUTE(Tabla1[[#This Row],[ENLACE]],"/","~",2))+1,LEN(Tabla1[[#This Row],[ENLACE]]))</f>
        <v>fc-basel</v>
      </c>
      <c r="B552" s="5" t="s">
        <v>421</v>
      </c>
      <c r="C552" t="str">
        <f>_xlfn.TEXTBEFORE(_xlfn.TEXTAFTER(Tabla1[[#This Row],[ENLACE]],"/",1),"/")</f>
        <v>switzerland</v>
      </c>
      <c r="D552" t="str">
        <f>Tabla1[[#This Row],[PAIS]]</f>
        <v>switzerland</v>
      </c>
      <c r="E552" s="8" t="str">
        <f ca="1">IF(VLOOKUP(Tabla1[[#This Row],[DIVISION]],$H$2:$I$44,2)="X","SI","NO")</f>
        <v>SI</v>
      </c>
    </row>
    <row r="553" spans="1:5" x14ac:dyDescent="0.3">
      <c r="A553" t="str">
        <f>MID(Tabla1[[#This Row],[ENLACE]],FIND("~",SUBSTITUTE(Tabla1[[#This Row],[ENLACE]],"/","~",2))+1,LEN(Tabla1[[#This Row],[ENLACE]]))</f>
        <v>grasshopper-club-zurich</v>
      </c>
      <c r="B553" s="2" t="s">
        <v>422</v>
      </c>
      <c r="C553" t="str">
        <f>_xlfn.TEXTBEFORE(_xlfn.TEXTAFTER(Tabla1[[#This Row],[ENLACE]],"/",1),"/")</f>
        <v>switzerland</v>
      </c>
      <c r="D553" t="str">
        <f>Tabla1[[#This Row],[PAIS]]</f>
        <v>switzerland</v>
      </c>
      <c r="E553" s="8" t="str">
        <f ca="1">IF(VLOOKUP(Tabla1[[#This Row],[DIVISION]],$H$2:$I$44,2)="X","SI","NO")</f>
        <v>SI</v>
      </c>
    </row>
    <row r="554" spans="1:5" x14ac:dyDescent="0.3">
      <c r="A554" t="str">
        <f>MID(Tabla1[[#This Row],[ENLACE]],FIND("~",SUBSTITUTE(Tabla1[[#This Row],[ENLACE]],"/","~",2))+1,LEN(Tabla1[[#This Row],[ENLACE]]))</f>
        <v>fc-lausanne-sport</v>
      </c>
      <c r="B554" s="5" t="s">
        <v>423</v>
      </c>
      <c r="C554" t="str">
        <f>_xlfn.TEXTBEFORE(_xlfn.TEXTAFTER(Tabla1[[#This Row],[ENLACE]],"/",1),"/")</f>
        <v>switzerland</v>
      </c>
      <c r="D554" t="str">
        <f>Tabla1[[#This Row],[PAIS]]</f>
        <v>switzerland</v>
      </c>
      <c r="E554" s="8" t="str">
        <f ca="1">IF(VLOOKUP(Tabla1[[#This Row],[DIVISION]],$H$2:$I$44,2)="X","SI","NO")</f>
        <v>SI</v>
      </c>
    </row>
    <row r="555" spans="1:5" x14ac:dyDescent="0.3">
      <c r="A555" t="str">
        <f>MID(Tabla1[[#This Row],[ENLACE]],FIND("~",SUBSTITUTE(Tabla1[[#This Row],[ENLACE]],"/","~",2))+1,LEN(Tabla1[[#This Row],[ENLACE]]))</f>
        <v>fc-lugano</v>
      </c>
      <c r="B555" s="2" t="s">
        <v>424</v>
      </c>
      <c r="C555" t="str">
        <f>_xlfn.TEXTBEFORE(_xlfn.TEXTAFTER(Tabla1[[#This Row],[ENLACE]],"/",1),"/")</f>
        <v>switzerland</v>
      </c>
      <c r="D555" t="str">
        <f>Tabla1[[#This Row],[PAIS]]</f>
        <v>switzerland</v>
      </c>
      <c r="E555" s="8" t="str">
        <f ca="1">IF(VLOOKUP(Tabla1[[#This Row],[DIVISION]],$H$2:$I$44,2)="X","SI","NO")</f>
        <v>SI</v>
      </c>
    </row>
    <row r="556" spans="1:5" x14ac:dyDescent="0.3">
      <c r="A556" t="str">
        <f>MID(Tabla1[[#This Row],[ENLACE]],FIND("~",SUBSTITUTE(Tabla1[[#This Row],[ENLACE]],"/","~",2))+1,LEN(Tabla1[[#This Row],[ENLACE]]))</f>
        <v>fc-luzern</v>
      </c>
      <c r="B556" s="5" t="s">
        <v>425</v>
      </c>
      <c r="C556" t="str">
        <f>_xlfn.TEXTBEFORE(_xlfn.TEXTAFTER(Tabla1[[#This Row],[ENLACE]],"/",1),"/")</f>
        <v>switzerland</v>
      </c>
      <c r="D556" t="str">
        <f>Tabla1[[#This Row],[PAIS]]</f>
        <v>switzerland</v>
      </c>
      <c r="E556" s="8" t="str">
        <f ca="1">IF(VLOOKUP(Tabla1[[#This Row],[DIVISION]],$H$2:$I$44,2)="X","SI","NO")</f>
        <v>SI</v>
      </c>
    </row>
    <row r="557" spans="1:5" x14ac:dyDescent="0.3">
      <c r="A557" t="str">
        <f>MID(Tabla1[[#This Row],[ENLACE]],FIND("~",SUBSTITUTE(Tabla1[[#This Row],[ENLACE]],"/","~",2))+1,LEN(Tabla1[[#This Row],[ENLACE]]))</f>
        <v>servette-fc</v>
      </c>
      <c r="B557" s="6" t="s">
        <v>426</v>
      </c>
      <c r="C557" t="str">
        <f>_xlfn.TEXTBEFORE(_xlfn.TEXTAFTER(Tabla1[[#This Row],[ENLACE]],"/",1),"/")</f>
        <v>switzerland</v>
      </c>
      <c r="D557" t="str">
        <f>Tabla1[[#This Row],[PAIS]]</f>
        <v>switzerland</v>
      </c>
      <c r="E557" s="8" t="str">
        <f ca="1">IF(VLOOKUP(Tabla1[[#This Row],[DIVISION]],$H$2:$I$44,2)="X","SI","NO")</f>
        <v>SI</v>
      </c>
    </row>
    <row r="558" spans="1:5" x14ac:dyDescent="0.3">
      <c r="A558" t="str">
        <f>MID(Tabla1[[#This Row],[ENLACE]],FIND("~",SUBSTITUTE(Tabla1[[#This Row],[ENLACE]],"/","~",2))+1,LEN(Tabla1[[#This Row],[ENLACE]]))</f>
        <v>fc-sion</v>
      </c>
      <c r="B558" t="s">
        <v>427</v>
      </c>
      <c r="C558" t="str">
        <f>_xlfn.TEXTBEFORE(_xlfn.TEXTAFTER(Tabla1[[#This Row],[ENLACE]],"/",1),"/")</f>
        <v>switzerland</v>
      </c>
      <c r="D558" t="str">
        <f>Tabla1[[#This Row],[PAIS]]</f>
        <v>switzerland</v>
      </c>
      <c r="E558" s="8" t="str">
        <f ca="1">IF(VLOOKUP(Tabla1[[#This Row],[DIVISION]],$H$2:$I$44,2)="X","SI","NO")</f>
        <v>SI</v>
      </c>
    </row>
    <row r="559" spans="1:5" x14ac:dyDescent="0.3">
      <c r="A559" t="str">
        <f>MID(Tabla1[[#This Row],[ENLACE]],FIND("~",SUBSTITUTE(Tabla1[[#This Row],[ENLACE]],"/","~",2))+1,LEN(Tabla1[[#This Row],[ENLACE]]))</f>
        <v>fc-st-gallen</v>
      </c>
      <c r="B559" s="7" t="s">
        <v>428</v>
      </c>
      <c r="C559" t="str">
        <f>_xlfn.TEXTBEFORE(_xlfn.TEXTAFTER(Tabla1[[#This Row],[ENLACE]],"/",1),"/")</f>
        <v>switzerland</v>
      </c>
      <c r="D559" t="str">
        <f>Tabla1[[#This Row],[PAIS]]</f>
        <v>switzerland</v>
      </c>
      <c r="E559" s="8" t="str">
        <f ca="1">IF(VLOOKUP(Tabla1[[#This Row],[DIVISION]],$H$2:$I$44,2)="X","SI","NO")</f>
        <v>SI</v>
      </c>
    </row>
    <row r="560" spans="1:5" x14ac:dyDescent="0.3">
      <c r="A560" t="str">
        <f>MID(Tabla1[[#This Row],[ENLACE]],FIND("~",SUBSTITUTE(Tabla1[[#This Row],[ENLACE]],"/","~",2))+1,LEN(Tabla1[[#This Row],[ENLACE]]))</f>
        <v>fc-thun</v>
      </c>
      <c r="B560" t="s">
        <v>429</v>
      </c>
      <c r="C560" t="str">
        <f>_xlfn.TEXTBEFORE(_xlfn.TEXTAFTER(Tabla1[[#This Row],[ENLACE]],"/",1),"/")</f>
        <v>switzerland</v>
      </c>
      <c r="D560" t="str">
        <f>Tabla1[[#This Row],[PAIS]]</f>
        <v>switzerland</v>
      </c>
      <c r="E560" s="8" t="str">
        <f ca="1">IF(VLOOKUP(Tabla1[[#This Row],[DIVISION]],$H$2:$I$44,2)="X","SI","NO")</f>
        <v>SI</v>
      </c>
    </row>
    <row r="561" spans="1:5" x14ac:dyDescent="0.3">
      <c r="A561" t="str">
        <f>MID(Tabla1[[#This Row],[ENLACE]],FIND("~",SUBSTITUTE(Tabla1[[#This Row],[ENLACE]],"/","~",2))+1,LEN(Tabla1[[#This Row],[ENLACE]]))</f>
        <v>fc-vaduz</v>
      </c>
      <c r="B561" s="7" t="s">
        <v>589</v>
      </c>
      <c r="C561" t="str">
        <f>_xlfn.TEXTBEFORE(_xlfn.TEXTAFTER(Tabla1[[#This Row],[ENLACE]],"/",1),"/")</f>
        <v>switzerland</v>
      </c>
      <c r="D561" t="str">
        <f>Tabla1[[#This Row],[PAIS]]</f>
        <v>switzerland</v>
      </c>
      <c r="E561" s="8" t="str">
        <f ca="1">IF(VLOOKUP(Tabla1[[#This Row],[DIVISION]],$H$2:$I$44,2)="X","SI","NO")</f>
        <v>SI</v>
      </c>
    </row>
    <row r="562" spans="1:5" x14ac:dyDescent="0.3">
      <c r="A562" t="str">
        <f>MID(Tabla1[[#This Row],[ENLACE]],FIND("~",SUBSTITUTE(Tabla1[[#This Row],[ENLACE]],"/","~",2))+1,LEN(Tabla1[[#This Row],[ENLACE]]))</f>
        <v>bsc-young-boys</v>
      </c>
      <c r="B562" t="s">
        <v>430</v>
      </c>
      <c r="C562" t="str">
        <f>_xlfn.TEXTBEFORE(_xlfn.TEXTAFTER(Tabla1[[#This Row],[ENLACE]],"/",1),"/")</f>
        <v>switzerland</v>
      </c>
      <c r="D562" t="str">
        <f>Tabla1[[#This Row],[PAIS]]</f>
        <v>switzerland</v>
      </c>
      <c r="E562" s="8" t="str">
        <f ca="1">IF(VLOOKUP(Tabla1[[#This Row],[DIVISION]],$H$2:$I$44,2)="X","SI","NO")</f>
        <v>SI</v>
      </c>
    </row>
    <row r="563" spans="1:5" x14ac:dyDescent="0.3">
      <c r="A563" t="str">
        <f>MID(Tabla1[[#This Row],[ENLACE]],FIND("~",SUBSTITUTE(Tabla1[[#This Row],[ENLACE]],"/","~",2))+1,LEN(Tabla1[[#This Row],[ENLACE]]))</f>
        <v>fc-zurich</v>
      </c>
      <c r="B563" s="7" t="s">
        <v>431</v>
      </c>
      <c r="C563" t="str">
        <f>_xlfn.TEXTBEFORE(_xlfn.TEXTAFTER(Tabla1[[#This Row],[ENLACE]],"/",1),"/")</f>
        <v>switzerland</v>
      </c>
      <c r="D563" t="str">
        <f>Tabla1[[#This Row],[PAIS]]</f>
        <v>switzerland</v>
      </c>
      <c r="E563" s="8" t="str">
        <f ca="1">IF(VLOOKUP(Tabla1[[#This Row],[DIVISION]],$H$2:$I$44,2)="X","SI","NO")</f>
        <v>SI</v>
      </c>
    </row>
    <row r="564" spans="1:5" x14ac:dyDescent="0.3">
      <c r="A564" t="str">
        <f>MID(Tabla1[[#This Row],[ENLACE]],FIND("~",SUBSTITUTE(Tabla1[[#This Row],[ENLACE]],"/","~",2))+1,LEN(Tabla1[[#This Row],[ENLACE]]))</f>
        <v>atlanta-united-fc</v>
      </c>
      <c r="B564" t="s">
        <v>432</v>
      </c>
      <c r="C564" t="str">
        <f>_xlfn.TEXTBEFORE(_xlfn.TEXTAFTER(Tabla1[[#This Row],[ENLACE]],"/",1),"/")</f>
        <v>usa</v>
      </c>
      <c r="D564" t="str">
        <f>Tabla1[[#This Row],[PAIS]]</f>
        <v>usa</v>
      </c>
      <c r="E564" s="8" t="str">
        <f ca="1">IF(VLOOKUP(Tabla1[[#This Row],[DIVISION]],$H$2:$I$44,2)="X","SI","NO")</f>
        <v>SI</v>
      </c>
    </row>
    <row r="565" spans="1:5" x14ac:dyDescent="0.3">
      <c r="A565" t="str">
        <f>MID(Tabla1[[#This Row],[ENLACE]],FIND("~",SUBSTITUTE(Tabla1[[#This Row],[ENLACE]],"/","~",2))+1,LEN(Tabla1[[#This Row],[ENLACE]]))</f>
        <v>austin-fc</v>
      </c>
      <c r="B565" s="7" t="s">
        <v>433</v>
      </c>
      <c r="C565" t="str">
        <f>_xlfn.TEXTBEFORE(_xlfn.TEXTAFTER(Tabla1[[#This Row],[ENLACE]],"/",1),"/")</f>
        <v>usa</v>
      </c>
      <c r="D565" t="str">
        <f>Tabla1[[#This Row],[PAIS]]</f>
        <v>usa</v>
      </c>
      <c r="E565" s="8" t="str">
        <f ca="1">IF(VLOOKUP(Tabla1[[#This Row],[DIVISION]],$H$2:$I$44,2)="X","SI","NO")</f>
        <v>SI</v>
      </c>
    </row>
    <row r="566" spans="1:5" x14ac:dyDescent="0.3">
      <c r="A566" t="str">
        <f>MID(Tabla1[[#This Row],[ENLACE]],FIND("~",SUBSTITUTE(Tabla1[[#This Row],[ENLACE]],"/","~",2))+1,LEN(Tabla1[[#This Row],[ENLACE]]))</f>
        <v>club-de-foot-montreal</v>
      </c>
      <c r="B566" t="s">
        <v>434</v>
      </c>
      <c r="C566" t="str">
        <f>_xlfn.TEXTBEFORE(_xlfn.TEXTAFTER(Tabla1[[#This Row],[ENLACE]],"/",1),"/")</f>
        <v>usa</v>
      </c>
      <c r="D566" t="str">
        <f>Tabla1[[#This Row],[PAIS]]</f>
        <v>usa</v>
      </c>
      <c r="E566" s="8" t="str">
        <f ca="1">IF(VLOOKUP(Tabla1[[#This Row],[DIVISION]],$H$2:$I$44,2)="X","SI","NO")</f>
        <v>SI</v>
      </c>
    </row>
    <row r="567" spans="1:5" x14ac:dyDescent="0.3">
      <c r="A567" t="str">
        <f>MID(Tabla1[[#This Row],[ENLACE]],FIND("~",SUBSTITUTE(Tabla1[[#This Row],[ENLACE]],"/","~",2))+1,LEN(Tabla1[[#This Row],[ENLACE]]))</f>
        <v>charlotte-fc</v>
      </c>
      <c r="B567" s="7" t="s">
        <v>435</v>
      </c>
      <c r="C567" t="str">
        <f>_xlfn.TEXTBEFORE(_xlfn.TEXTAFTER(Tabla1[[#This Row],[ENLACE]],"/",1),"/")</f>
        <v>usa</v>
      </c>
      <c r="D567" t="str">
        <f>Tabla1[[#This Row],[PAIS]]</f>
        <v>usa</v>
      </c>
      <c r="E567" s="8" t="str">
        <f ca="1">IF(VLOOKUP(Tabla1[[#This Row],[DIVISION]],$H$2:$I$44,2)="X","SI","NO")</f>
        <v>SI</v>
      </c>
    </row>
    <row r="568" spans="1:5" x14ac:dyDescent="0.3">
      <c r="A568" t="str">
        <f>MID(Tabla1[[#This Row],[ENLACE]],FIND("~",SUBSTITUTE(Tabla1[[#This Row],[ENLACE]],"/","~",2))+1,LEN(Tabla1[[#This Row],[ENLACE]]))</f>
        <v>chicago-fire-fc</v>
      </c>
      <c r="B568" t="s">
        <v>436</v>
      </c>
      <c r="C568" t="str">
        <f>_xlfn.TEXTBEFORE(_xlfn.TEXTAFTER(Tabla1[[#This Row],[ENLACE]],"/",1),"/")</f>
        <v>usa</v>
      </c>
      <c r="D568" t="str">
        <f>Tabla1[[#This Row],[PAIS]]</f>
        <v>usa</v>
      </c>
      <c r="E568" s="8" t="str">
        <f ca="1">IF(VLOOKUP(Tabla1[[#This Row],[DIVISION]],$H$2:$I$44,2)="X","SI","NO")</f>
        <v>SI</v>
      </c>
    </row>
    <row r="569" spans="1:5" x14ac:dyDescent="0.3">
      <c r="A569" t="str">
        <f>MID(Tabla1[[#This Row],[ENLACE]],FIND("~",SUBSTITUTE(Tabla1[[#This Row],[ENLACE]],"/","~",2))+1,LEN(Tabla1[[#This Row],[ENLACE]]))</f>
        <v>fc-cincinnati</v>
      </c>
      <c r="B569" s="7" t="s">
        <v>437</v>
      </c>
      <c r="C569" t="str">
        <f>_xlfn.TEXTBEFORE(_xlfn.TEXTAFTER(Tabla1[[#This Row],[ENLACE]],"/",1),"/")</f>
        <v>usa</v>
      </c>
      <c r="D569" t="str">
        <f>Tabla1[[#This Row],[PAIS]]</f>
        <v>usa</v>
      </c>
      <c r="E569" s="8" t="str">
        <f ca="1">IF(VLOOKUP(Tabla1[[#This Row],[DIVISION]],$H$2:$I$44,2)="X","SI","NO")</f>
        <v>SI</v>
      </c>
    </row>
    <row r="570" spans="1:5" x14ac:dyDescent="0.3">
      <c r="A570" t="str">
        <f>MID(Tabla1[[#This Row],[ENLACE]],FIND("~",SUBSTITUTE(Tabla1[[#This Row],[ENLACE]],"/","~",2))+1,LEN(Tabla1[[#This Row],[ENLACE]]))</f>
        <v>colorado-rapids</v>
      </c>
      <c r="B570" t="s">
        <v>438</v>
      </c>
      <c r="C570" t="str">
        <f>_xlfn.TEXTBEFORE(_xlfn.TEXTAFTER(Tabla1[[#This Row],[ENLACE]],"/",1),"/")</f>
        <v>usa</v>
      </c>
      <c r="D570" t="str">
        <f>Tabla1[[#This Row],[PAIS]]</f>
        <v>usa</v>
      </c>
      <c r="E570" s="8" t="str">
        <f ca="1">IF(VLOOKUP(Tabla1[[#This Row],[DIVISION]],$H$2:$I$44,2)="X","SI","NO")</f>
        <v>SI</v>
      </c>
    </row>
    <row r="571" spans="1:5" x14ac:dyDescent="0.3">
      <c r="A571" t="str">
        <f>MID(Tabla1[[#This Row],[ENLACE]],FIND("~",SUBSTITUTE(Tabla1[[#This Row],[ENLACE]],"/","~",2))+1,LEN(Tabla1[[#This Row],[ENLACE]]))</f>
        <v>columbus-crew-sc</v>
      </c>
      <c r="B571" s="7" t="s">
        <v>439</v>
      </c>
      <c r="C571" t="str">
        <f>_xlfn.TEXTBEFORE(_xlfn.TEXTAFTER(Tabla1[[#This Row],[ENLACE]],"/",1),"/")</f>
        <v>usa</v>
      </c>
      <c r="D571" t="str">
        <f>Tabla1[[#This Row],[PAIS]]</f>
        <v>usa</v>
      </c>
      <c r="E571" s="8" t="str">
        <f ca="1">IF(VLOOKUP(Tabla1[[#This Row],[DIVISION]],$H$2:$I$44,2)="X","SI","NO")</f>
        <v>SI</v>
      </c>
    </row>
    <row r="572" spans="1:5" x14ac:dyDescent="0.3">
      <c r="A572" t="str">
        <f>MID(Tabla1[[#This Row],[ENLACE]],FIND("~",SUBSTITUTE(Tabla1[[#This Row],[ENLACE]],"/","~",2))+1,LEN(Tabla1[[#This Row],[ENLACE]]))</f>
        <v>dc-united</v>
      </c>
      <c r="B572" t="s">
        <v>440</v>
      </c>
      <c r="C572" t="str">
        <f>_xlfn.TEXTBEFORE(_xlfn.TEXTAFTER(Tabla1[[#This Row],[ENLACE]],"/",1),"/")</f>
        <v>usa</v>
      </c>
      <c r="D572" t="str">
        <f>Tabla1[[#This Row],[PAIS]]</f>
        <v>usa</v>
      </c>
      <c r="E572" s="8" t="str">
        <f ca="1">IF(VLOOKUP(Tabla1[[#This Row],[DIVISION]],$H$2:$I$44,2)="X","SI","NO")</f>
        <v>SI</v>
      </c>
    </row>
    <row r="573" spans="1:5" x14ac:dyDescent="0.3">
      <c r="A573" t="str">
        <f>MID(Tabla1[[#This Row],[ENLACE]],FIND("~",SUBSTITUTE(Tabla1[[#This Row],[ENLACE]],"/","~",2))+1,LEN(Tabla1[[#This Row],[ENLACE]]))</f>
        <v>fc-dallas</v>
      </c>
      <c r="B573" s="7" t="s">
        <v>441</v>
      </c>
      <c r="C573" t="str">
        <f>_xlfn.TEXTBEFORE(_xlfn.TEXTAFTER(Tabla1[[#This Row],[ENLACE]],"/",1),"/")</f>
        <v>usa</v>
      </c>
      <c r="D573" t="str">
        <f>Tabla1[[#This Row],[PAIS]]</f>
        <v>usa</v>
      </c>
      <c r="E573" s="8" t="str">
        <f ca="1">IF(VLOOKUP(Tabla1[[#This Row],[DIVISION]],$H$2:$I$44,2)="X","SI","NO")</f>
        <v>SI</v>
      </c>
    </row>
    <row r="574" spans="1:5" x14ac:dyDescent="0.3">
      <c r="A574" t="str">
        <f>MID(Tabla1[[#This Row],[ENLACE]],FIND("~",SUBSTITUTE(Tabla1[[#This Row],[ENLACE]],"/","~",2))+1,LEN(Tabla1[[#This Row],[ENLACE]]))</f>
        <v>houston-dynamo</v>
      </c>
      <c r="B574" t="s">
        <v>442</v>
      </c>
      <c r="C574" t="str">
        <f>_xlfn.TEXTBEFORE(_xlfn.TEXTAFTER(Tabla1[[#This Row],[ENLACE]],"/",1),"/")</f>
        <v>usa</v>
      </c>
      <c r="D574" t="str">
        <f>Tabla1[[#This Row],[PAIS]]</f>
        <v>usa</v>
      </c>
      <c r="E574" s="8" t="str">
        <f ca="1">IF(VLOOKUP(Tabla1[[#This Row],[DIVISION]],$H$2:$I$44,2)="X","SI","NO")</f>
        <v>SI</v>
      </c>
    </row>
    <row r="575" spans="1:5" x14ac:dyDescent="0.3">
      <c r="A575" t="str">
        <f>MID(Tabla1[[#This Row],[ENLACE]],FIND("~",SUBSTITUTE(Tabla1[[#This Row],[ENLACE]],"/","~",2))+1,LEN(Tabla1[[#This Row],[ENLACE]]))</f>
        <v>inter-miami-cf</v>
      </c>
      <c r="B575" s="7" t="s">
        <v>443</v>
      </c>
      <c r="C575" t="str">
        <f>_xlfn.TEXTBEFORE(_xlfn.TEXTAFTER(Tabla1[[#This Row],[ENLACE]],"/",1),"/")</f>
        <v>usa</v>
      </c>
      <c r="D575" t="str">
        <f>Tabla1[[#This Row],[PAIS]]</f>
        <v>usa</v>
      </c>
      <c r="E575" s="8" t="str">
        <f ca="1">IF(VLOOKUP(Tabla1[[#This Row],[DIVISION]],$H$2:$I$44,2)="X","SI","NO")</f>
        <v>SI</v>
      </c>
    </row>
    <row r="576" spans="1:5" x14ac:dyDescent="0.3">
      <c r="A576" t="str">
        <f>MID(Tabla1[[#This Row],[ENLACE]],FIND("~",SUBSTITUTE(Tabla1[[#This Row],[ENLACE]],"/","~",2))+1,LEN(Tabla1[[#This Row],[ENLACE]]))</f>
        <v>los-angeles-fc</v>
      </c>
      <c r="B576" t="s">
        <v>444</v>
      </c>
      <c r="C576" t="str">
        <f>_xlfn.TEXTBEFORE(_xlfn.TEXTAFTER(Tabla1[[#This Row],[ENLACE]],"/",1),"/")</f>
        <v>usa</v>
      </c>
      <c r="D576" t="str">
        <f>Tabla1[[#This Row],[PAIS]]</f>
        <v>usa</v>
      </c>
      <c r="E576" s="8" t="str">
        <f ca="1">IF(VLOOKUP(Tabla1[[#This Row],[DIVISION]],$H$2:$I$44,2)="X","SI","NO")</f>
        <v>SI</v>
      </c>
    </row>
    <row r="577" spans="1:5" x14ac:dyDescent="0.3">
      <c r="A577" t="str">
        <f>MID(Tabla1[[#This Row],[ENLACE]],FIND("~",SUBSTITUTE(Tabla1[[#This Row],[ENLACE]],"/","~",2))+1,LEN(Tabla1[[#This Row],[ENLACE]]))</f>
        <v>los-angeles-galaxy</v>
      </c>
      <c r="B577" s="7" t="s">
        <v>445</v>
      </c>
      <c r="C577" t="str">
        <f>_xlfn.TEXTBEFORE(_xlfn.TEXTAFTER(Tabla1[[#This Row],[ENLACE]],"/",1),"/")</f>
        <v>usa</v>
      </c>
      <c r="D577" t="str">
        <f>Tabla1[[#This Row],[PAIS]]</f>
        <v>usa</v>
      </c>
      <c r="E577" s="8" t="str">
        <f ca="1">IF(VLOOKUP(Tabla1[[#This Row],[DIVISION]],$H$2:$I$44,2)="X","SI","NO")</f>
        <v>SI</v>
      </c>
    </row>
    <row r="578" spans="1:5" x14ac:dyDescent="0.3">
      <c r="A578" t="str">
        <f>MID(Tabla1[[#This Row],[ENLACE]],FIND("~",SUBSTITUTE(Tabla1[[#This Row],[ENLACE]],"/","~",2))+1,LEN(Tabla1[[#This Row],[ENLACE]]))</f>
        <v>minnesota-united-fc</v>
      </c>
      <c r="B578" t="s">
        <v>446</v>
      </c>
      <c r="C578" t="str">
        <f>_xlfn.TEXTBEFORE(_xlfn.TEXTAFTER(Tabla1[[#This Row],[ENLACE]],"/",1),"/")</f>
        <v>usa</v>
      </c>
      <c r="D578" t="str">
        <f>Tabla1[[#This Row],[PAIS]]</f>
        <v>usa</v>
      </c>
      <c r="E578" s="8" t="str">
        <f ca="1">IF(VLOOKUP(Tabla1[[#This Row],[DIVISION]],$H$2:$I$44,2)="X","SI","NO")</f>
        <v>SI</v>
      </c>
    </row>
    <row r="579" spans="1:5" x14ac:dyDescent="0.3">
      <c r="A579" t="str">
        <f>MID(Tabla1[[#This Row],[ENLACE]],FIND("~",SUBSTITUTE(Tabla1[[#This Row],[ENLACE]],"/","~",2))+1,LEN(Tabla1[[#This Row],[ENLACE]]))</f>
        <v>nashville-sc</v>
      </c>
      <c r="B579" s="7" t="s">
        <v>447</v>
      </c>
      <c r="C579" t="str">
        <f>_xlfn.TEXTBEFORE(_xlfn.TEXTAFTER(Tabla1[[#This Row],[ENLACE]],"/",1),"/")</f>
        <v>usa</v>
      </c>
      <c r="D579" t="str">
        <f>Tabla1[[#This Row],[PAIS]]</f>
        <v>usa</v>
      </c>
      <c r="E579" s="8" t="str">
        <f ca="1">IF(VLOOKUP(Tabla1[[#This Row],[DIVISION]],$H$2:$I$44,2)="X","SI","NO")</f>
        <v>SI</v>
      </c>
    </row>
    <row r="580" spans="1:5" x14ac:dyDescent="0.3">
      <c r="A580" t="str">
        <f>MID(Tabla1[[#This Row],[ENLACE]],FIND("~",SUBSTITUTE(Tabla1[[#This Row],[ENLACE]],"/","~",2))+1,LEN(Tabla1[[#This Row],[ENLACE]]))</f>
        <v>new-england-revolution</v>
      </c>
      <c r="B580" t="s">
        <v>448</v>
      </c>
      <c r="C580" t="str">
        <f>_xlfn.TEXTBEFORE(_xlfn.TEXTAFTER(Tabla1[[#This Row],[ENLACE]],"/",1),"/")</f>
        <v>usa</v>
      </c>
      <c r="D580" t="str">
        <f>Tabla1[[#This Row],[PAIS]]</f>
        <v>usa</v>
      </c>
      <c r="E580" s="8" t="str">
        <f ca="1">IF(VLOOKUP(Tabla1[[#This Row],[DIVISION]],$H$2:$I$44,2)="X","SI","NO")</f>
        <v>SI</v>
      </c>
    </row>
    <row r="581" spans="1:5" x14ac:dyDescent="0.3">
      <c r="A581" t="str">
        <f>MID(Tabla1[[#This Row],[ENLACE]],FIND("~",SUBSTITUTE(Tabla1[[#This Row],[ENLACE]],"/","~",2))+1,LEN(Tabla1[[#This Row],[ENLACE]]))</f>
        <v>new-york-city-fc</v>
      </c>
      <c r="B581" s="7" t="s">
        <v>449</v>
      </c>
      <c r="C581" t="str">
        <f>_xlfn.TEXTBEFORE(_xlfn.TEXTAFTER(Tabla1[[#This Row],[ENLACE]],"/",1),"/")</f>
        <v>usa</v>
      </c>
      <c r="D581" t="str">
        <f>Tabla1[[#This Row],[PAIS]]</f>
        <v>usa</v>
      </c>
      <c r="E581" s="8" t="str">
        <f ca="1">IF(VLOOKUP(Tabla1[[#This Row],[DIVISION]],$H$2:$I$44,2)="X","SI","NO")</f>
        <v>SI</v>
      </c>
    </row>
    <row r="582" spans="1:5" x14ac:dyDescent="0.3">
      <c r="A582" t="str">
        <f>MID(Tabla1[[#This Row],[ENLACE]],FIND("~",SUBSTITUTE(Tabla1[[#This Row],[ENLACE]],"/","~",2))+1,LEN(Tabla1[[#This Row],[ENLACE]]))</f>
        <v>new-york-red-bulls</v>
      </c>
      <c r="B582" t="s">
        <v>450</v>
      </c>
      <c r="C582" t="str">
        <f>_xlfn.TEXTBEFORE(_xlfn.TEXTAFTER(Tabla1[[#This Row],[ENLACE]],"/",1),"/")</f>
        <v>usa</v>
      </c>
      <c r="D582" t="str">
        <f>Tabla1[[#This Row],[PAIS]]</f>
        <v>usa</v>
      </c>
      <c r="E582" s="8" t="str">
        <f ca="1">IF(VLOOKUP(Tabla1[[#This Row],[DIVISION]],$H$2:$I$44,2)="X","SI","NO")</f>
        <v>SI</v>
      </c>
    </row>
    <row r="583" spans="1:5" x14ac:dyDescent="0.3">
      <c r="A583" t="str">
        <f>MID(Tabla1[[#This Row],[ENLACE]],FIND("~",SUBSTITUTE(Tabla1[[#This Row],[ENLACE]],"/","~",2))+1,LEN(Tabla1[[#This Row],[ENLACE]]))</f>
        <v>orlando-city-sc</v>
      </c>
      <c r="B583" s="7" t="s">
        <v>451</v>
      </c>
      <c r="C583" t="str">
        <f>_xlfn.TEXTBEFORE(_xlfn.TEXTAFTER(Tabla1[[#This Row],[ENLACE]],"/",1),"/")</f>
        <v>usa</v>
      </c>
      <c r="D583" t="str">
        <f>Tabla1[[#This Row],[PAIS]]</f>
        <v>usa</v>
      </c>
      <c r="E583" s="8" t="str">
        <f ca="1">IF(VLOOKUP(Tabla1[[#This Row],[DIVISION]],$H$2:$I$44,2)="X","SI","NO")</f>
        <v>SI</v>
      </c>
    </row>
    <row r="584" spans="1:5" x14ac:dyDescent="0.3">
      <c r="A584" t="str">
        <f>MID(Tabla1[[#This Row],[ENLACE]],FIND("~",SUBSTITUTE(Tabla1[[#This Row],[ENLACE]],"/","~",2))+1,LEN(Tabla1[[#This Row],[ENLACE]]))</f>
        <v>philadelphia-union</v>
      </c>
      <c r="B584" t="s">
        <v>452</v>
      </c>
      <c r="C584" t="str">
        <f>_xlfn.TEXTBEFORE(_xlfn.TEXTAFTER(Tabla1[[#This Row],[ENLACE]],"/",1),"/")</f>
        <v>usa</v>
      </c>
      <c r="D584" t="str">
        <f>Tabla1[[#This Row],[PAIS]]</f>
        <v>usa</v>
      </c>
      <c r="E584" s="8" t="str">
        <f ca="1">IF(VLOOKUP(Tabla1[[#This Row],[DIVISION]],$H$2:$I$44,2)="X","SI","NO")</f>
        <v>SI</v>
      </c>
    </row>
    <row r="585" spans="1:5" x14ac:dyDescent="0.3">
      <c r="A585" t="str">
        <f>MID(Tabla1[[#This Row],[ENLACE]],FIND("~",SUBSTITUTE(Tabla1[[#This Row],[ENLACE]],"/","~",2))+1,LEN(Tabla1[[#This Row],[ENLACE]]))</f>
        <v>portland-timbers</v>
      </c>
      <c r="B585" s="7" t="s">
        <v>453</v>
      </c>
      <c r="C585" t="str">
        <f>_xlfn.TEXTBEFORE(_xlfn.TEXTAFTER(Tabla1[[#This Row],[ENLACE]],"/",1),"/")</f>
        <v>usa</v>
      </c>
      <c r="D585" t="str">
        <f>Tabla1[[#This Row],[PAIS]]</f>
        <v>usa</v>
      </c>
      <c r="E585" s="8" t="str">
        <f ca="1">IF(VLOOKUP(Tabla1[[#This Row],[DIVISION]],$H$2:$I$44,2)="X","SI","NO")</f>
        <v>SI</v>
      </c>
    </row>
    <row r="586" spans="1:5" x14ac:dyDescent="0.3">
      <c r="A586" t="str">
        <f>MID(Tabla1[[#This Row],[ENLACE]],FIND("~",SUBSTITUTE(Tabla1[[#This Row],[ENLACE]],"/","~",2))+1,LEN(Tabla1[[#This Row],[ENLACE]]))</f>
        <v>real-salt-lake</v>
      </c>
      <c r="B586" t="s">
        <v>454</v>
      </c>
      <c r="C586" t="str">
        <f>_xlfn.TEXTBEFORE(_xlfn.TEXTAFTER(Tabla1[[#This Row],[ENLACE]],"/",1),"/")</f>
        <v>usa</v>
      </c>
      <c r="D586" t="str">
        <f>Tabla1[[#This Row],[PAIS]]</f>
        <v>usa</v>
      </c>
      <c r="E586" s="8" t="str">
        <f ca="1">IF(VLOOKUP(Tabla1[[#This Row],[DIVISION]],$H$2:$I$44,2)="X","SI","NO")</f>
        <v>SI</v>
      </c>
    </row>
    <row r="587" spans="1:5" x14ac:dyDescent="0.3">
      <c r="A587" t="str">
        <f>MID(Tabla1[[#This Row],[ENLACE]],FIND("~",SUBSTITUTE(Tabla1[[#This Row],[ENLACE]],"/","~",2))+1,LEN(Tabla1[[#This Row],[ENLACE]]))</f>
        <v>san-diego-fc</v>
      </c>
      <c r="B587" s="7" t="s">
        <v>455</v>
      </c>
      <c r="C587" t="str">
        <f>_xlfn.TEXTBEFORE(_xlfn.TEXTAFTER(Tabla1[[#This Row],[ENLACE]],"/",1),"/")</f>
        <v>usa</v>
      </c>
      <c r="D587" t="str">
        <f>Tabla1[[#This Row],[PAIS]]</f>
        <v>usa</v>
      </c>
      <c r="E587" s="8" t="str">
        <f ca="1">IF(VLOOKUP(Tabla1[[#This Row],[DIVISION]],$H$2:$I$44,2)="X","SI","NO")</f>
        <v>SI</v>
      </c>
    </row>
    <row r="588" spans="1:5" x14ac:dyDescent="0.3">
      <c r="A588" t="str">
        <f>MID(Tabla1[[#This Row],[ENLACE]],FIND("~",SUBSTITUTE(Tabla1[[#This Row],[ENLACE]],"/","~",2))+1,LEN(Tabla1[[#This Row],[ENLACE]]))</f>
        <v>san-jose-earthquakes</v>
      </c>
      <c r="B588" t="s">
        <v>456</v>
      </c>
      <c r="C588" t="str">
        <f>_xlfn.TEXTBEFORE(_xlfn.TEXTAFTER(Tabla1[[#This Row],[ENLACE]],"/",1),"/")</f>
        <v>usa</v>
      </c>
      <c r="D588" t="str">
        <f>Tabla1[[#This Row],[PAIS]]</f>
        <v>usa</v>
      </c>
      <c r="E588" s="8" t="str">
        <f ca="1">IF(VLOOKUP(Tabla1[[#This Row],[DIVISION]],$H$2:$I$44,2)="X","SI","NO")</f>
        <v>SI</v>
      </c>
    </row>
    <row r="589" spans="1:5" x14ac:dyDescent="0.3">
      <c r="A589" t="str">
        <f>MID(Tabla1[[#This Row],[ENLACE]],FIND("~",SUBSTITUTE(Tabla1[[#This Row],[ENLACE]],"/","~",2))+1,LEN(Tabla1[[#This Row],[ENLACE]]))</f>
        <v>seattle-sounders-fc</v>
      </c>
      <c r="B589" s="7" t="s">
        <v>457</v>
      </c>
      <c r="C589" t="str">
        <f>_xlfn.TEXTBEFORE(_xlfn.TEXTAFTER(Tabla1[[#This Row],[ENLACE]],"/",1),"/")</f>
        <v>usa</v>
      </c>
      <c r="D589" t="str">
        <f>Tabla1[[#This Row],[PAIS]]</f>
        <v>usa</v>
      </c>
      <c r="E589" s="8" t="str">
        <f ca="1">IF(VLOOKUP(Tabla1[[#This Row],[DIVISION]],$H$2:$I$44,2)="X","SI","NO")</f>
        <v>SI</v>
      </c>
    </row>
    <row r="590" spans="1:5" x14ac:dyDescent="0.3">
      <c r="A590" t="str">
        <f>MID(Tabla1[[#This Row],[ENLACE]],FIND("~",SUBSTITUTE(Tabla1[[#This Row],[ENLACE]],"/","~",2))+1,LEN(Tabla1[[#This Row],[ENLACE]]))</f>
        <v>sporting-kansas-city</v>
      </c>
      <c r="B590" t="s">
        <v>458</v>
      </c>
      <c r="C590" t="str">
        <f>_xlfn.TEXTBEFORE(_xlfn.TEXTAFTER(Tabla1[[#This Row],[ENLACE]],"/",1),"/")</f>
        <v>usa</v>
      </c>
      <c r="D590" t="str">
        <f>Tabla1[[#This Row],[PAIS]]</f>
        <v>usa</v>
      </c>
      <c r="E590" s="8" t="str">
        <f ca="1">IF(VLOOKUP(Tabla1[[#This Row],[DIVISION]],$H$2:$I$44,2)="X","SI","NO")</f>
        <v>SI</v>
      </c>
    </row>
    <row r="591" spans="1:5" x14ac:dyDescent="0.3">
      <c r="A591" t="str">
        <f>MID(Tabla1[[#This Row],[ENLACE]],FIND("~",SUBSTITUTE(Tabla1[[#This Row],[ENLACE]],"/","~",2))+1,LEN(Tabla1[[#This Row],[ENLACE]]))</f>
        <v>st-louis-city-sc</v>
      </c>
      <c r="B591" s="7" t="s">
        <v>459</v>
      </c>
      <c r="C591" t="str">
        <f>_xlfn.TEXTBEFORE(_xlfn.TEXTAFTER(Tabla1[[#This Row],[ENLACE]],"/",1),"/")</f>
        <v>usa</v>
      </c>
      <c r="D591" t="str">
        <f>Tabla1[[#This Row],[PAIS]]</f>
        <v>usa</v>
      </c>
      <c r="E591" s="8" t="str">
        <f ca="1">IF(VLOOKUP(Tabla1[[#This Row],[DIVISION]],$H$2:$I$44,2)="X","SI","NO")</f>
        <v>SI</v>
      </c>
    </row>
    <row r="592" spans="1:5" x14ac:dyDescent="0.3">
      <c r="A592" t="str">
        <f>MID(Tabla1[[#This Row],[ENLACE]],FIND("~",SUBSTITUTE(Tabla1[[#This Row],[ENLACE]],"/","~",2))+1,LEN(Tabla1[[#This Row],[ENLACE]]))</f>
        <v>toronto-fc</v>
      </c>
      <c r="B592" t="s">
        <v>460</v>
      </c>
      <c r="C592" t="str">
        <f>_xlfn.TEXTBEFORE(_xlfn.TEXTAFTER(Tabla1[[#This Row],[ENLACE]],"/",1),"/")</f>
        <v>usa</v>
      </c>
      <c r="D592" t="str">
        <f>Tabla1[[#This Row],[PAIS]]</f>
        <v>usa</v>
      </c>
      <c r="E592" s="8" t="str">
        <f ca="1">IF(VLOOKUP(Tabla1[[#This Row],[DIVISION]],$H$2:$I$44,2)="X","SI","NO")</f>
        <v>SI</v>
      </c>
    </row>
    <row r="593" spans="1:5" x14ac:dyDescent="0.3">
      <c r="A593" t="str">
        <f>MID(Tabla1[[#This Row],[ENLACE]],FIND("~",SUBSTITUTE(Tabla1[[#This Row],[ENLACE]],"/","~",2))+1,LEN(Tabla1[[#This Row],[ENLACE]]))</f>
        <v>vancouver-whitecaps-fc</v>
      </c>
      <c r="B593" s="7" t="s">
        <v>461</v>
      </c>
      <c r="C593" t="str">
        <f>_xlfn.TEXTBEFORE(_xlfn.TEXTAFTER(Tabla1[[#This Row],[ENLACE]],"/",1),"/")</f>
        <v>usa</v>
      </c>
      <c r="D593" t="str">
        <f>Tabla1[[#This Row],[PAIS]]</f>
        <v>usa</v>
      </c>
      <c r="E593" s="8" t="str">
        <f ca="1">IF(VLOOKUP(Tabla1[[#This Row],[DIVISION]],$H$2:$I$44,2)="X","SI","NO")</f>
        <v>SI</v>
      </c>
    </row>
    <row r="594" spans="1:5" x14ac:dyDescent="0.3">
      <c r="A594" t="str">
        <f>MID(Tabla1[[#This Row],[ENLACE]],FIND("~",SUBSTITUTE(Tabla1[[#This Row],[ENLACE]],"/","~",2))+1,LEN(Tabla1[[#This Row],[ENLACE]]))</f>
        <v>bohemians-fc</v>
      </c>
      <c r="B594" t="s">
        <v>543</v>
      </c>
      <c r="C594" t="str">
        <f>_xlfn.TEXTBEFORE(_xlfn.TEXTAFTER(Tabla1[[#This Row],[ENLACE]],"/",1),"/")</f>
        <v>ireland</v>
      </c>
      <c r="D594" t="str">
        <f>Tabla1[[#This Row],[PAIS]]</f>
        <v>ireland</v>
      </c>
      <c r="E594" s="8" t="str">
        <f ca="1">IF(VLOOKUP(Tabla1[[#This Row],[DIVISION]],$H$2:$I$44,2)="X","SI","NO")</f>
        <v>SI</v>
      </c>
    </row>
    <row r="595" spans="1:5" x14ac:dyDescent="0.3">
      <c r="A595" t="str">
        <f>MID(Tabla1[[#This Row],[ENLACE]],FIND("~",SUBSTITUTE(Tabla1[[#This Row],[ENLACE]],"/","~",2))+1,LEN(Tabla1[[#This Row],[ENLACE]]))</f>
        <v>derry-city-fc</v>
      </c>
      <c r="B595" t="s">
        <v>544</v>
      </c>
      <c r="C595" t="str">
        <f>_xlfn.TEXTBEFORE(_xlfn.TEXTAFTER(Tabla1[[#This Row],[ENLACE]],"/",1),"/")</f>
        <v>ireland</v>
      </c>
      <c r="D595" t="str">
        <f>Tabla1[[#This Row],[PAIS]]</f>
        <v>ireland</v>
      </c>
      <c r="E595" s="8" t="str">
        <f ca="1">IF(VLOOKUP(Tabla1[[#This Row],[DIVISION]],$H$2:$I$44,2)="X","SI","NO")</f>
        <v>SI</v>
      </c>
    </row>
    <row r="596" spans="1:5" x14ac:dyDescent="0.3">
      <c r="A596" t="str">
        <f>MID(Tabla1[[#This Row],[ENLACE]],FIND("~",SUBSTITUTE(Tabla1[[#This Row],[ENLACE]],"/","~",2))+1,LEN(Tabla1[[#This Row],[ENLACE]]))</f>
        <v>drogheda-united-fc</v>
      </c>
      <c r="B596" t="s">
        <v>545</v>
      </c>
      <c r="C596" t="str">
        <f>_xlfn.TEXTBEFORE(_xlfn.TEXTAFTER(Tabla1[[#This Row],[ENLACE]],"/",1),"/")</f>
        <v>ireland</v>
      </c>
      <c r="D596" t="str">
        <f>Tabla1[[#This Row],[PAIS]]</f>
        <v>ireland</v>
      </c>
      <c r="E596" s="8" t="str">
        <f ca="1">IF(VLOOKUP(Tabla1[[#This Row],[DIVISION]],$H$2:$I$44,2)="X","SI","NO")</f>
        <v>SI</v>
      </c>
    </row>
    <row r="597" spans="1:5" x14ac:dyDescent="0.3">
      <c r="A597" t="str">
        <f>MID(Tabla1[[#This Row],[ENLACE]],FIND("~",SUBSTITUTE(Tabla1[[#This Row],[ENLACE]],"/","~",2))+1,LEN(Tabla1[[#This Row],[ENLACE]]))</f>
        <v>dundalk-fc</v>
      </c>
      <c r="B597" t="s">
        <v>546</v>
      </c>
      <c r="C597" t="str">
        <f>_xlfn.TEXTBEFORE(_xlfn.TEXTAFTER(Tabla1[[#This Row],[ENLACE]],"/",1),"/")</f>
        <v>ireland</v>
      </c>
      <c r="D597" t="str">
        <f>Tabla1[[#This Row],[PAIS]]</f>
        <v>ireland</v>
      </c>
      <c r="E597" s="8" t="str">
        <f ca="1">IF(VLOOKUP(Tabla1[[#This Row],[DIVISION]],$H$2:$I$44,2)="X","SI","NO")</f>
        <v>SI</v>
      </c>
    </row>
    <row r="598" spans="1:5" x14ac:dyDescent="0.3">
      <c r="A598" t="str">
        <f>MID(Tabla1[[#This Row],[ENLACE]],FIND("~",SUBSTITUTE(Tabla1[[#This Row],[ENLACE]],"/","~",2))+1,LEN(Tabla1[[#This Row],[ENLACE]]))</f>
        <v>galway-united-fc</v>
      </c>
      <c r="B598" t="s">
        <v>547</v>
      </c>
      <c r="C598" t="str">
        <f>_xlfn.TEXTBEFORE(_xlfn.TEXTAFTER(Tabla1[[#This Row],[ENLACE]],"/",1),"/")</f>
        <v>ireland</v>
      </c>
      <c r="D598" t="str">
        <f>Tabla1[[#This Row],[PAIS]]</f>
        <v>ireland</v>
      </c>
      <c r="E598" s="8" t="str">
        <f ca="1">IF(VLOOKUP(Tabla1[[#This Row],[DIVISION]],$H$2:$I$44,2)="X","SI","NO")</f>
        <v>SI</v>
      </c>
    </row>
    <row r="599" spans="1:5" x14ac:dyDescent="0.3">
      <c r="A599" t="str">
        <f>MID(Tabla1[[#This Row],[ENLACE]],FIND("~",SUBSTITUTE(Tabla1[[#This Row],[ENLACE]],"/","~",2))+1,LEN(Tabla1[[#This Row],[ENLACE]]))</f>
        <v>shamrock-rovers-fc</v>
      </c>
      <c r="B599" t="s">
        <v>548</v>
      </c>
      <c r="C599" t="str">
        <f>_xlfn.TEXTBEFORE(_xlfn.TEXTAFTER(Tabla1[[#This Row],[ENLACE]],"/",1),"/")</f>
        <v>ireland</v>
      </c>
      <c r="D599" t="str">
        <f>Tabla1[[#This Row],[PAIS]]</f>
        <v>ireland</v>
      </c>
      <c r="E599" s="8" t="str">
        <f ca="1">IF(VLOOKUP(Tabla1[[#This Row],[DIVISION]],$H$2:$I$44,2)="X","SI","NO")</f>
        <v>SI</v>
      </c>
    </row>
    <row r="600" spans="1:5" x14ac:dyDescent="0.3">
      <c r="A600" t="str">
        <f>MID(Tabla1[[#This Row],[ENLACE]],FIND("~",SUBSTITUTE(Tabla1[[#This Row],[ENLACE]],"/","~",2))+1,LEN(Tabla1[[#This Row],[ENLACE]]))</f>
        <v>shelbourne-fc</v>
      </c>
      <c r="B600" t="s">
        <v>549</v>
      </c>
      <c r="C600" t="str">
        <f>_xlfn.TEXTBEFORE(_xlfn.TEXTAFTER(Tabla1[[#This Row],[ENLACE]],"/",1),"/")</f>
        <v>ireland</v>
      </c>
      <c r="D600" t="str">
        <f>Tabla1[[#This Row],[PAIS]]</f>
        <v>ireland</v>
      </c>
      <c r="E600" s="8" t="str">
        <f ca="1">IF(VLOOKUP(Tabla1[[#This Row],[DIVISION]],$H$2:$I$44,2)="X","SI","NO")</f>
        <v>SI</v>
      </c>
    </row>
    <row r="601" spans="1:5" x14ac:dyDescent="0.3">
      <c r="A601" t="str">
        <f>MID(Tabla1[[#This Row],[ENLACE]],FIND("~",SUBSTITUTE(Tabla1[[#This Row],[ENLACE]],"/","~",2))+1,LEN(Tabla1[[#This Row],[ENLACE]]))</f>
        <v>sligo-rovers-fc</v>
      </c>
      <c r="B601" t="s">
        <v>550</v>
      </c>
      <c r="C601" t="str">
        <f>_xlfn.TEXTBEFORE(_xlfn.TEXTAFTER(Tabla1[[#This Row],[ENLACE]],"/",1),"/")</f>
        <v>ireland</v>
      </c>
      <c r="D601" t="str">
        <f>Tabla1[[#This Row],[PAIS]]</f>
        <v>ireland</v>
      </c>
      <c r="E601" s="8" t="str">
        <f ca="1">IF(VLOOKUP(Tabla1[[#This Row],[DIVISION]],$H$2:$I$44,2)="X","SI","NO")</f>
        <v>SI</v>
      </c>
    </row>
    <row r="602" spans="1:5" x14ac:dyDescent="0.3">
      <c r="A602" t="str">
        <f>MID(Tabla1[[#This Row],[ENLACE]],FIND("~",SUBSTITUTE(Tabla1[[#This Row],[ENLACE]],"/","~",2))+1,LEN(Tabla1[[#This Row],[ENLACE]]))</f>
        <v>st-patricks-athletic-fc</v>
      </c>
      <c r="B602" t="s">
        <v>551</v>
      </c>
      <c r="C602" t="str">
        <f>_xlfn.TEXTBEFORE(_xlfn.TEXTAFTER(Tabla1[[#This Row],[ENLACE]],"/",1),"/")</f>
        <v>ireland</v>
      </c>
      <c r="D602" t="str">
        <f>Tabla1[[#This Row],[PAIS]]</f>
        <v>ireland</v>
      </c>
      <c r="E602" s="8" t="str">
        <f ca="1">IF(VLOOKUP(Tabla1[[#This Row],[DIVISION]],$H$2:$I$44,2)="X","SI","NO")</f>
        <v>SI</v>
      </c>
    </row>
    <row r="603" spans="1:5" x14ac:dyDescent="0.3">
      <c r="A603" t="str">
        <f>MID(Tabla1[[#This Row],[ENLACE]],FIND("~",SUBSTITUTE(Tabla1[[#This Row],[ENLACE]],"/","~",2))+1,LEN(Tabla1[[#This Row],[ENLACE]]))</f>
        <v>waterford-fc</v>
      </c>
      <c r="B603" t="s">
        <v>552</v>
      </c>
      <c r="C603" t="str">
        <f>_xlfn.TEXTBEFORE(_xlfn.TEXTAFTER(Tabla1[[#This Row],[ENLACE]],"/",1),"/")</f>
        <v>ireland</v>
      </c>
      <c r="D603" t="str">
        <f>Tabla1[[#This Row],[PAIS]]</f>
        <v>ireland</v>
      </c>
      <c r="E603" s="8" t="str">
        <f ca="1">IF(VLOOKUP(Tabla1[[#This Row],[DIVISION]],$H$2:$I$44,2)="X","SI","NO")</f>
        <v>SI</v>
      </c>
    </row>
    <row r="604" spans="1:5" x14ac:dyDescent="0.3">
      <c r="A604" t="str">
        <f>MID(Tabla1[[#This Row],[ENLACE]],FIND("~",SUBSTITUTE(Tabla1[[#This Row],[ENLACE]],"/","~",2))+1,LEN(Tabla1[[#This Row],[ENLACE]]))</f>
        <v>abou-qir-fertilizers-sc</v>
      </c>
      <c r="B604" t="s">
        <v>735</v>
      </c>
      <c r="C604" t="str">
        <f>_xlfn.TEXTBEFORE(_xlfn.TEXTAFTER(Tabla1[[#This Row],[ENLACE]],"/",1),"/")</f>
        <v>egypt</v>
      </c>
      <c r="D604" t="str">
        <f>Tabla1[[#This Row],[PAIS]]</f>
        <v>egypt</v>
      </c>
      <c r="E604" s="8" t="str">
        <f ca="1">IF(VLOOKUP(Tabla1[[#This Row],[DIVISION]],$H$2:$I$44,2)="X","SI","NO")</f>
        <v>SI</v>
      </c>
    </row>
    <row r="605" spans="1:5" x14ac:dyDescent="0.3">
      <c r="A605" t="str">
        <f>MID(Tabla1[[#This Row],[ENLACE]],FIND("~",SUBSTITUTE(Tabla1[[#This Row],[ENLACE]],"/","~",2))+1,LEN(Tabla1[[#This Row],[ENLACE]]))</f>
        <v>al-ahly-sc</v>
      </c>
      <c r="B605" t="s">
        <v>553</v>
      </c>
      <c r="C605" t="str">
        <f>_xlfn.TEXTBEFORE(_xlfn.TEXTAFTER(Tabla1[[#This Row],[ENLACE]],"/",1),"/")</f>
        <v>egypt</v>
      </c>
      <c r="D605" t="str">
        <f>Tabla1[[#This Row],[PAIS]]</f>
        <v>egypt</v>
      </c>
      <c r="E605" s="8" t="str">
        <f ca="1">IF(VLOOKUP(Tabla1[[#This Row],[DIVISION]],$H$2:$I$44,2)="X","SI","NO")</f>
        <v>SI</v>
      </c>
    </row>
    <row r="606" spans="1:5" x14ac:dyDescent="0.3">
      <c r="A606" t="str">
        <f>MID(Tabla1[[#This Row],[ENLACE]],FIND("~",SUBSTITUTE(Tabla1[[#This Row],[ENLACE]],"/","~",2))+1,LEN(Tabla1[[#This Row],[ENLACE]]))</f>
        <v>al-ittihad-ac</v>
      </c>
      <c r="B606" t="s">
        <v>554</v>
      </c>
      <c r="C606" t="str">
        <f>_xlfn.TEXTBEFORE(_xlfn.TEXTAFTER(Tabla1[[#This Row],[ENLACE]],"/",1),"/")</f>
        <v>egypt</v>
      </c>
      <c r="D606" t="str">
        <f>Tabla1[[#This Row],[PAIS]]</f>
        <v>egypt</v>
      </c>
      <c r="E606" s="8" t="str">
        <f ca="1">IF(VLOOKUP(Tabla1[[#This Row],[DIVISION]],$H$2:$I$44,2)="X","SI","NO")</f>
        <v>SI</v>
      </c>
    </row>
    <row r="607" spans="1:5" x14ac:dyDescent="0.3">
      <c r="A607" t="str">
        <f>MID(Tabla1[[#This Row],[ENLACE]],FIND("~",SUBSTITUTE(Tabla1[[#This Row],[ENLACE]],"/","~",2))+1,LEN(Tabla1[[#This Row],[ENLACE]]))</f>
        <v>al-masry-sc</v>
      </c>
      <c r="B607" t="s">
        <v>555</v>
      </c>
      <c r="C607" t="str">
        <f>_xlfn.TEXTBEFORE(_xlfn.TEXTAFTER(Tabla1[[#This Row],[ENLACE]],"/",1),"/")</f>
        <v>egypt</v>
      </c>
      <c r="D607" t="str">
        <f>Tabla1[[#This Row],[PAIS]]</f>
        <v>egypt</v>
      </c>
      <c r="E607" s="8" t="str">
        <f ca="1">IF(VLOOKUP(Tabla1[[#This Row],[DIVISION]],$H$2:$I$44,2)="X","SI","NO")</f>
        <v>SI</v>
      </c>
    </row>
    <row r="608" spans="1:5" x14ac:dyDescent="0.3">
      <c r="A608" t="str">
        <f>MID(Tabla1[[#This Row],[ENLACE]],FIND("~",SUBSTITUTE(Tabla1[[#This Row],[ENLACE]],"/","~",2))+1,LEN(Tabla1[[#This Row],[ENLACE]]))</f>
        <v>el-qanah-fc</v>
      </c>
      <c r="B608" t="s">
        <v>733</v>
      </c>
      <c r="C608" t="str">
        <f>_xlfn.TEXTBEFORE(_xlfn.TEXTAFTER(Tabla1[[#This Row],[ENLACE]],"/",1),"/")</f>
        <v>egypt</v>
      </c>
      <c r="D608" t="str">
        <f>Tabla1[[#This Row],[PAIS]]</f>
        <v>egypt</v>
      </c>
      <c r="E608" s="8" t="str">
        <f ca="1">IF(VLOOKUP(Tabla1[[#This Row],[DIVISION]],$H$2:$I$44,2)="X","SI","NO")</f>
        <v>SI</v>
      </c>
    </row>
    <row r="609" spans="1:5" x14ac:dyDescent="0.3">
      <c r="A609" t="str">
        <f>MID(Tabla1[[#This Row],[ENLACE]],FIND("~",SUBSTITUTE(Tabla1[[#This Row],[ENLACE]],"/","~",2))+1,LEN(Tabla1[[#This Row],[ENLACE]]))</f>
        <v>arab-contractors-sc</v>
      </c>
      <c r="B609" t="s">
        <v>556</v>
      </c>
      <c r="C609" t="str">
        <f>_xlfn.TEXTBEFORE(_xlfn.TEXTAFTER(Tabla1[[#This Row],[ENLACE]],"/",1),"/")</f>
        <v>egypt</v>
      </c>
      <c r="D609" t="str">
        <f>Tabla1[[#This Row],[PAIS]]</f>
        <v>egypt</v>
      </c>
      <c r="E609" s="8" t="str">
        <f ca="1">IF(VLOOKUP(Tabla1[[#This Row],[DIVISION]],$H$2:$I$44,2)="X","SI","NO")</f>
        <v>SI</v>
      </c>
    </row>
    <row r="610" spans="1:5" x14ac:dyDescent="0.3">
      <c r="A610" t="str">
        <f>MID(Tabla1[[#This Row],[ENLACE]],FIND("~",SUBSTITUTE(Tabla1[[#This Row],[ENLACE]],"/","~",2))+1,LEN(Tabla1[[#This Row],[ENLACE]]))</f>
        <v>asyut-petroleum-sc</v>
      </c>
      <c r="B610" t="s">
        <v>734</v>
      </c>
      <c r="C610" t="str">
        <f>_xlfn.TEXTBEFORE(_xlfn.TEXTAFTER(Tabla1[[#This Row],[ENLACE]],"/",1),"/")</f>
        <v>egypt</v>
      </c>
      <c r="D610" t="str">
        <f>Tabla1[[#This Row],[PAIS]]</f>
        <v>egypt</v>
      </c>
      <c r="E610" s="8" t="str">
        <f ca="1">IF(VLOOKUP(Tabla1[[#This Row],[DIVISION]],$H$2:$I$44,2)="X","SI","NO")</f>
        <v>SI</v>
      </c>
    </row>
    <row r="611" spans="1:5" x14ac:dyDescent="0.3">
      <c r="A611" t="str">
        <f>MID(Tabla1[[#This Row],[ENLACE]],FIND("~",SUBSTITUTE(Tabla1[[#This Row],[ENLACE]],"/","~",2))+1,LEN(Tabla1[[#This Row],[ENLACE]]))</f>
        <v>ceramica-cleopatra-fc</v>
      </c>
      <c r="B611" t="s">
        <v>557</v>
      </c>
      <c r="C611" t="str">
        <f>_xlfn.TEXTBEFORE(_xlfn.TEXTAFTER(Tabla1[[#This Row],[ENLACE]],"/",1),"/")</f>
        <v>egypt</v>
      </c>
      <c r="D611" t="str">
        <f>Tabla1[[#This Row],[PAIS]]</f>
        <v>egypt</v>
      </c>
      <c r="E611" s="8" t="str">
        <f ca="1">IF(VLOOKUP(Tabla1[[#This Row],[DIVISION]],$H$2:$I$44,2)="X","SI","NO")</f>
        <v>SI</v>
      </c>
    </row>
    <row r="612" spans="1:5" x14ac:dyDescent="0.3">
      <c r="A612" t="str">
        <f>MID(Tabla1[[#This Row],[ENLACE]],FIND("~",SUBSTITUTE(Tabla1[[#This Row],[ENLACE]],"/","~",2))+1,LEN(Tabla1[[#This Row],[ENLACE]]))</f>
        <v>talaea-el-gaish-sc</v>
      </c>
      <c r="B612" t="s">
        <v>558</v>
      </c>
      <c r="C612" t="str">
        <f>_xlfn.TEXTBEFORE(_xlfn.TEXTAFTER(Tabla1[[#This Row],[ENLACE]],"/",1),"/")</f>
        <v>egypt</v>
      </c>
      <c r="D612" t="str">
        <f>Tabla1[[#This Row],[PAIS]]</f>
        <v>egypt</v>
      </c>
      <c r="E612" s="8" t="str">
        <f ca="1">IF(VLOOKUP(Tabla1[[#This Row],[DIVISION]],$H$2:$I$44,2)="X","SI","NO")</f>
        <v>SI</v>
      </c>
    </row>
    <row r="613" spans="1:5" x14ac:dyDescent="0.3">
      <c r="A613" t="str">
        <f>MID(Tabla1[[#This Row],[ENLACE]],FIND("~",SUBSTITUTE(Tabla1[[#This Row],[ENLACE]],"/","~",2))+1,LEN(Tabla1[[#This Row],[ENLACE]]))</f>
        <v>el-gouna-fc</v>
      </c>
      <c r="B613" t="s">
        <v>559</v>
      </c>
      <c r="C613" t="str">
        <f>_xlfn.TEXTBEFORE(_xlfn.TEXTAFTER(Tabla1[[#This Row],[ENLACE]],"/",1),"/")</f>
        <v>egypt</v>
      </c>
      <c r="D613" t="str">
        <f>Tabla1[[#This Row],[PAIS]]</f>
        <v>egypt</v>
      </c>
      <c r="E613" s="8" t="str">
        <f ca="1">IF(VLOOKUP(Tabla1[[#This Row],[DIVISION]],$H$2:$I$44,2)="X","SI","NO")</f>
        <v>SI</v>
      </c>
    </row>
    <row r="614" spans="1:5" x14ac:dyDescent="0.3">
      <c r="A614" t="str">
        <f>MID(Tabla1[[#This Row],[ENLACE]],FIND("~",SUBSTITUTE(Tabla1[[#This Row],[ENLACE]],"/","~",2))+1,LEN(Tabla1[[#This Row],[ENLACE]]))</f>
        <v>enppi-sc</v>
      </c>
      <c r="B614" t="s">
        <v>560</v>
      </c>
      <c r="C614" t="str">
        <f>_xlfn.TEXTBEFORE(_xlfn.TEXTAFTER(Tabla1[[#This Row],[ENLACE]],"/",1),"/")</f>
        <v>egypt</v>
      </c>
      <c r="D614" t="str">
        <f>Tabla1[[#This Row],[PAIS]]</f>
        <v>egypt</v>
      </c>
      <c r="E614" s="8" t="str">
        <f ca="1">IF(VLOOKUP(Tabla1[[#This Row],[DIVISION]],$H$2:$I$44,2)="X","SI","NO")</f>
        <v>SI</v>
      </c>
    </row>
    <row r="615" spans="1:5" x14ac:dyDescent="0.3">
      <c r="A615" t="str">
        <f>MID(Tabla1[[#This Row],[ENLACE]],FIND("~",SUBSTITUTE(Tabla1[[#This Row],[ENLACE]],"/","~",2))+1,LEN(Tabla1[[#This Row],[ENLACE]]))</f>
        <v>ghazi-el-mahalla-sc</v>
      </c>
      <c r="B615" t="s">
        <v>561</v>
      </c>
      <c r="C615" t="str">
        <f>_xlfn.TEXTBEFORE(_xlfn.TEXTAFTER(Tabla1[[#This Row],[ENLACE]],"/",1),"/")</f>
        <v>egypt</v>
      </c>
      <c r="D615" t="str">
        <f>Tabla1[[#This Row],[PAIS]]</f>
        <v>egypt</v>
      </c>
      <c r="E615" s="8" t="str">
        <f ca="1">IF(VLOOKUP(Tabla1[[#This Row],[DIVISION]],$H$2:$I$44,2)="X","SI","NO")</f>
        <v>SI</v>
      </c>
    </row>
    <row r="616" spans="1:5" x14ac:dyDescent="0.3">
      <c r="A616" t="str">
        <f>MID(Tabla1[[#This Row],[ENLACE]],FIND("~",SUBSTITUTE(Tabla1[[#This Row],[ENLACE]],"/","~",2))+1,LEN(Tabla1[[#This Row],[ENLACE]]))</f>
        <v>modern-sport-fc</v>
      </c>
      <c r="B616" t="s">
        <v>562</v>
      </c>
      <c r="C616" t="str">
        <f>_xlfn.TEXTBEFORE(_xlfn.TEXTAFTER(Tabla1[[#This Row],[ENLACE]],"/",1),"/")</f>
        <v>egypt</v>
      </c>
      <c r="D616" t="str">
        <f>Tabla1[[#This Row],[PAIS]]</f>
        <v>egypt</v>
      </c>
      <c r="E616" s="8" t="str">
        <f ca="1">IF(VLOOKUP(Tabla1[[#This Row],[DIVISION]],$H$2:$I$44,2)="X","SI","NO")</f>
        <v>SI</v>
      </c>
    </row>
    <row r="617" spans="1:5" x14ac:dyDescent="0.3">
      <c r="A617" t="str">
        <f>MID(Tabla1[[#This Row],[ENLACE]],FIND("~",SUBSTITUTE(Tabla1[[#This Row],[ENLACE]],"/","~",2))+1,LEN(Tabla1[[#This Row],[ENLACE]]))</f>
        <v>national-bank-of-egypt-sc</v>
      </c>
      <c r="B617" t="s">
        <v>563</v>
      </c>
      <c r="C617" t="str">
        <f>_xlfn.TEXTBEFORE(_xlfn.TEXTAFTER(Tabla1[[#This Row],[ENLACE]],"/",1),"/")</f>
        <v>egypt</v>
      </c>
      <c r="D617" t="str">
        <f>Tabla1[[#This Row],[PAIS]]</f>
        <v>egypt</v>
      </c>
      <c r="E617" s="8" t="str">
        <f ca="1">IF(VLOOKUP(Tabla1[[#This Row],[DIVISION]],$H$2:$I$44,2)="X","SI","NO")</f>
        <v>SI</v>
      </c>
    </row>
    <row r="618" spans="1:5" x14ac:dyDescent="0.3">
      <c r="A618" t="str">
        <f>MID(Tabla1[[#This Row],[ENLACE]],FIND("~",SUBSTITUTE(Tabla1[[#This Row],[ENLACE]],"/","~",2))+1,LEN(Tabla1[[#This Row],[ENLACE]]))</f>
        <v>petrojet-sc</v>
      </c>
      <c r="B618" t="s">
        <v>564</v>
      </c>
      <c r="C618" t="str">
        <f>_xlfn.TEXTBEFORE(_xlfn.TEXTAFTER(Tabla1[[#This Row],[ENLACE]],"/",1),"/")</f>
        <v>egypt</v>
      </c>
      <c r="D618" t="str">
        <f>Tabla1[[#This Row],[PAIS]]</f>
        <v>egypt</v>
      </c>
      <c r="E618" s="8" t="str">
        <f ca="1">IF(VLOOKUP(Tabla1[[#This Row],[DIVISION]],$H$2:$I$44,2)="X","SI","NO")</f>
        <v>SI</v>
      </c>
    </row>
    <row r="619" spans="1:5" x14ac:dyDescent="0.3">
      <c r="A619" t="str">
        <f>MID(Tabla1[[#This Row],[ENLACE]],FIND("~",SUBSTITUTE(Tabla1[[#This Row],[ENLACE]],"/","~",2))+1,LEN(Tabla1[[#This Row],[ENLACE]]))</f>
        <v>pyramids-fc</v>
      </c>
      <c r="B619" t="s">
        <v>565</v>
      </c>
      <c r="C619" t="str">
        <f>_xlfn.TEXTBEFORE(_xlfn.TEXTAFTER(Tabla1[[#This Row],[ENLACE]],"/",1),"/")</f>
        <v>egypt</v>
      </c>
      <c r="D619" t="str">
        <f>Tabla1[[#This Row],[PAIS]]</f>
        <v>egypt</v>
      </c>
      <c r="E619" s="8" t="str">
        <f ca="1">IF(VLOOKUP(Tabla1[[#This Row],[DIVISION]],$H$2:$I$44,2)="X","SI","NO")</f>
        <v>SI</v>
      </c>
    </row>
    <row r="620" spans="1:5" x14ac:dyDescent="0.3">
      <c r="A620" t="str">
        <f>MID(Tabla1[[#This Row],[ENLACE]],FIND("~",SUBSTITUTE(Tabla1[[#This Row],[ENLACE]],"/","~",2))+1,LEN(Tabla1[[#This Row],[ENLACE]]))</f>
        <v>smouha-sc</v>
      </c>
      <c r="B620" t="s">
        <v>566</v>
      </c>
      <c r="C620" t="str">
        <f>_xlfn.TEXTBEFORE(_xlfn.TEXTAFTER(Tabla1[[#This Row],[ENLACE]],"/",1),"/")</f>
        <v>egypt</v>
      </c>
      <c r="D620" t="str">
        <f>Tabla1[[#This Row],[PAIS]]</f>
        <v>egypt</v>
      </c>
      <c r="E620" s="8" t="str">
        <f ca="1">IF(VLOOKUP(Tabla1[[#This Row],[DIVISION]],$H$2:$I$44,2)="X","SI","NO")</f>
        <v>SI</v>
      </c>
    </row>
    <row r="621" spans="1:5" x14ac:dyDescent="0.3">
      <c r="A621" t="str">
        <f>MID(Tabla1[[#This Row],[ENLACE]],FIND("~",SUBSTITUTE(Tabla1[[#This Row],[ENLACE]],"/","~",2))+1,LEN(Tabla1[[#This Row],[ENLACE]]))</f>
        <v>wadi-degla-sc</v>
      </c>
      <c r="B621" t="s">
        <v>567</v>
      </c>
      <c r="C621" t="str">
        <f>_xlfn.TEXTBEFORE(_xlfn.TEXTAFTER(Tabla1[[#This Row],[ENLACE]],"/",1),"/")</f>
        <v>egypt</v>
      </c>
      <c r="D621" t="str">
        <f>Tabla1[[#This Row],[PAIS]]</f>
        <v>egypt</v>
      </c>
      <c r="E621" s="8" t="str">
        <f ca="1">IF(VLOOKUP(Tabla1[[#This Row],[DIVISION]],$H$2:$I$44,2)="X","SI","NO")</f>
        <v>SI</v>
      </c>
    </row>
    <row r="622" spans="1:5" x14ac:dyDescent="0.3">
      <c r="A622" t="str">
        <f>MID(Tabla1[[#This Row],[ENLACE]],FIND("~",SUBSTITUTE(Tabla1[[#This Row],[ENLACE]],"/","~",2))+1,LEN(Tabla1[[#This Row],[ENLACE]]))</f>
        <v>zamalek-sc</v>
      </c>
      <c r="B622" t="s">
        <v>568</v>
      </c>
      <c r="C622" t="str">
        <f>_xlfn.TEXTBEFORE(_xlfn.TEXTAFTER(Tabla1[[#This Row],[ENLACE]],"/",1),"/")</f>
        <v>egypt</v>
      </c>
      <c r="D622" t="str">
        <f>Tabla1[[#This Row],[PAIS]]</f>
        <v>egypt</v>
      </c>
      <c r="E622" s="8" t="str">
        <f ca="1">IF(VLOOKUP(Tabla1[[#This Row],[DIVISION]],$H$2:$I$44,2)="X","SI","NO")</f>
        <v>SI</v>
      </c>
    </row>
    <row r="623" spans="1:5" x14ac:dyDescent="0.3">
      <c r="A623" t="str">
        <f>MID(Tabla1[[#This Row],[ENLACE]],FIND("~",SUBSTITUTE(Tabla1[[#This Row],[ENLACE]],"/","~",2))+1,LEN(Tabla1[[#This Row],[ENLACE]]))</f>
        <v>zed-fc</v>
      </c>
      <c r="B623" t="s">
        <v>569</v>
      </c>
      <c r="C623" t="str">
        <f>_xlfn.TEXTBEFORE(_xlfn.TEXTAFTER(Tabla1[[#This Row],[ENLACE]],"/",1),"/")</f>
        <v>egypt</v>
      </c>
      <c r="D623" t="str">
        <f>Tabla1[[#This Row],[PAIS]]</f>
        <v>egypt</v>
      </c>
      <c r="E623" s="8" t="str">
        <f ca="1">IF(VLOOKUP(Tabla1[[#This Row],[DIVISION]],$H$2:$I$44,2)="X","SI","NO")</f>
        <v>SI</v>
      </c>
    </row>
    <row r="624" spans="1:5" x14ac:dyDescent="0.3">
      <c r="A624" t="str">
        <f>MID(Tabla1[[#This Row],[ENLACE]],FIND("~",SUBSTITUTE(Tabla1[[#This Row],[ENLACE]],"/","~",2))+1,LEN(Tabla1[[#This Row],[ENLACE]]))</f>
        <v>aek-larnaca-fc</v>
      </c>
      <c r="B624" t="s">
        <v>624</v>
      </c>
      <c r="C624" t="str">
        <f>_xlfn.TEXTBEFORE(_xlfn.TEXTAFTER(Tabla1[[#This Row],[ENLACE]],"/",1),"/")</f>
        <v>cyprus</v>
      </c>
      <c r="D624" t="str">
        <f>Tabla1[[#This Row],[PAIS]]</f>
        <v>cyprus</v>
      </c>
      <c r="E624" s="8" t="str">
        <f ca="1">IF(VLOOKUP(Tabla1[[#This Row],[DIVISION]],$H$2:$I$44,2)="X","SI","NO")</f>
        <v>SI</v>
      </c>
    </row>
    <row r="625" spans="1:5" x14ac:dyDescent="0.3">
      <c r="A625" t="str">
        <f>MID(Tabla1[[#This Row],[ENLACE]],FIND("~",SUBSTITUTE(Tabla1[[#This Row],[ENLACE]],"/","~",2))+1,LEN(Tabla1[[#This Row],[ENLACE]]))</f>
        <v>ael-limassol</v>
      </c>
      <c r="B625" t="s">
        <v>625</v>
      </c>
      <c r="C625" t="str">
        <f>_xlfn.TEXTBEFORE(_xlfn.TEXTAFTER(Tabla1[[#This Row],[ENLACE]],"/",1),"/")</f>
        <v>cyprus</v>
      </c>
      <c r="D625" t="str">
        <f>Tabla1[[#This Row],[PAIS]]</f>
        <v>cyprus</v>
      </c>
      <c r="E625" s="8" t="str">
        <f ca="1">IF(VLOOKUP(Tabla1[[#This Row],[DIVISION]],$H$2:$I$44,2)="X","SI","NO")</f>
        <v>SI</v>
      </c>
    </row>
    <row r="626" spans="1:5" x14ac:dyDescent="0.3">
      <c r="A626" t="str">
        <f>MID(Tabla1[[#This Row],[ENLACE]],FIND("~",SUBSTITUTE(Tabla1[[#This Row],[ENLACE]],"/","~",2))+1,LEN(Tabla1[[#This Row],[ENLACE]]))</f>
        <v>anorthosis-famagusta-fc</v>
      </c>
      <c r="B626" t="s">
        <v>626</v>
      </c>
      <c r="C626" t="str">
        <f>_xlfn.TEXTBEFORE(_xlfn.TEXTAFTER(Tabla1[[#This Row],[ENLACE]],"/",1),"/")</f>
        <v>cyprus</v>
      </c>
      <c r="D626" t="str">
        <f>Tabla1[[#This Row],[PAIS]]</f>
        <v>cyprus</v>
      </c>
      <c r="E626" s="8" t="str">
        <f ca="1">IF(VLOOKUP(Tabla1[[#This Row],[DIVISION]],$H$2:$I$44,2)="X","SI","NO")</f>
        <v>SI</v>
      </c>
    </row>
    <row r="627" spans="1:5" x14ac:dyDescent="0.3">
      <c r="A627" t="str">
        <f>MID(Tabla1[[#This Row],[ENLACE]],FIND("~",SUBSTITUTE(Tabla1[[#This Row],[ENLACE]],"/","~",2))+1,LEN(Tabla1[[#This Row],[ENLACE]]))</f>
        <v>apoel-fc</v>
      </c>
      <c r="B627" t="s">
        <v>627</v>
      </c>
      <c r="C627" t="str">
        <f>_xlfn.TEXTBEFORE(_xlfn.TEXTAFTER(Tabla1[[#This Row],[ENLACE]],"/",1),"/")</f>
        <v>cyprus</v>
      </c>
      <c r="D627" t="str">
        <f>Tabla1[[#This Row],[PAIS]]</f>
        <v>cyprus</v>
      </c>
      <c r="E627" s="8" t="str">
        <f ca="1">IF(VLOOKUP(Tabla1[[#This Row],[DIVISION]],$H$2:$I$44,2)="X","SI","NO")</f>
        <v>SI</v>
      </c>
    </row>
    <row r="628" spans="1:5" x14ac:dyDescent="0.3">
      <c r="A628" t="str">
        <f>MID(Tabla1[[#This Row],[ENLACE]],FIND("~",SUBSTITUTE(Tabla1[[#This Row],[ENLACE]],"/","~",2))+1,LEN(Tabla1[[#This Row],[ENLACE]]))</f>
        <v>apollon-limassol</v>
      </c>
      <c r="B628" t="s">
        <v>628</v>
      </c>
      <c r="C628" t="str">
        <f>_xlfn.TEXTBEFORE(_xlfn.TEXTAFTER(Tabla1[[#This Row],[ENLACE]],"/",1),"/")</f>
        <v>cyprus</v>
      </c>
      <c r="D628" t="str">
        <f>Tabla1[[#This Row],[PAIS]]</f>
        <v>cyprus</v>
      </c>
      <c r="E628" s="8" t="str">
        <f ca="1">IF(VLOOKUP(Tabla1[[#This Row],[DIVISION]],$H$2:$I$44,2)="X","SI","NO")</f>
        <v>SI</v>
      </c>
    </row>
    <row r="629" spans="1:5" x14ac:dyDescent="0.3">
      <c r="A629" t="str">
        <f>MID(Tabla1[[#This Row],[ENLACE]],FIND("~",SUBSTITUTE(Tabla1[[#This Row],[ENLACE]],"/","~",2))+1,LEN(Tabla1[[#This Row],[ENLACE]]))</f>
        <v>aris-limassol-fc</v>
      </c>
      <c r="B629" t="s">
        <v>629</v>
      </c>
      <c r="C629" t="str">
        <f>_xlfn.TEXTBEFORE(_xlfn.TEXTAFTER(Tabla1[[#This Row],[ENLACE]],"/",1),"/")</f>
        <v>cyprus</v>
      </c>
      <c r="D629" t="str">
        <f>Tabla1[[#This Row],[PAIS]]</f>
        <v>cyprus</v>
      </c>
      <c r="E629" s="8" t="str">
        <f ca="1">IF(VLOOKUP(Tabla1[[#This Row],[DIVISION]],$H$2:$I$44,2)="X","SI","NO")</f>
        <v>SI</v>
      </c>
    </row>
    <row r="630" spans="1:5" x14ac:dyDescent="0.3">
      <c r="A630" t="str">
        <f>MID(Tabla1[[#This Row],[ENLACE]],FIND("~",SUBSTITUTE(Tabla1[[#This Row],[ENLACE]],"/","~",2))+1,LEN(Tabla1[[#This Row],[ENLACE]]))</f>
        <v>karmiotissa-fc</v>
      </c>
      <c r="B630" t="s">
        <v>630</v>
      </c>
      <c r="C630" t="str">
        <f>_xlfn.TEXTBEFORE(_xlfn.TEXTAFTER(Tabla1[[#This Row],[ENLACE]],"/",1),"/")</f>
        <v>cyprus</v>
      </c>
      <c r="D630" t="str">
        <f>Tabla1[[#This Row],[PAIS]]</f>
        <v>cyprus</v>
      </c>
      <c r="E630" s="8" t="str">
        <f ca="1">IF(VLOOKUP(Tabla1[[#This Row],[DIVISION]],$H$2:$I$44,2)="X","SI","NO")</f>
        <v>SI</v>
      </c>
    </row>
    <row r="631" spans="1:5" x14ac:dyDescent="0.3">
      <c r="A631" t="str">
        <f>MID(Tabla1[[#This Row],[ENLACE]],FIND("~",SUBSTITUTE(Tabla1[[#This Row],[ENLACE]],"/","~",2))+1,LEN(Tabla1[[#This Row],[ENLACE]]))</f>
        <v>krasava-eny-ypsonas-fc</v>
      </c>
      <c r="B631" t="s">
        <v>631</v>
      </c>
      <c r="C631" t="str">
        <f>_xlfn.TEXTBEFORE(_xlfn.TEXTAFTER(Tabla1[[#This Row],[ENLACE]],"/",1),"/")</f>
        <v>cyprus</v>
      </c>
      <c r="D631" t="str">
        <f>Tabla1[[#This Row],[PAIS]]</f>
        <v>cyprus</v>
      </c>
      <c r="E631" s="8" t="str">
        <f ca="1">IF(VLOOKUP(Tabla1[[#This Row],[DIVISION]],$H$2:$I$44,2)="X","SI","NO")</f>
        <v>SI</v>
      </c>
    </row>
    <row r="632" spans="1:5" x14ac:dyDescent="0.3">
      <c r="A632" t="str">
        <f>MID(Tabla1[[#This Row],[ENLACE]],FIND("~",SUBSTITUTE(Tabla1[[#This Row],[ENLACE]],"/","~",2))+1,LEN(Tabla1[[#This Row],[ENLACE]]))</f>
        <v>nea-salamis-famagusta-fc</v>
      </c>
      <c r="B632" t="s">
        <v>632</v>
      </c>
      <c r="C632" t="str">
        <f>_xlfn.TEXTBEFORE(_xlfn.TEXTAFTER(Tabla1[[#This Row],[ENLACE]],"/",1),"/")</f>
        <v>cyprus</v>
      </c>
      <c r="D632" t="str">
        <f>Tabla1[[#This Row],[PAIS]]</f>
        <v>cyprus</v>
      </c>
      <c r="E632" s="8" t="str">
        <f ca="1">IF(VLOOKUP(Tabla1[[#This Row],[DIVISION]],$H$2:$I$44,2)="X","SI","NO")</f>
        <v>SI</v>
      </c>
    </row>
    <row r="633" spans="1:5" x14ac:dyDescent="0.3">
      <c r="A633" t="str">
        <f>MID(Tabla1[[#This Row],[ENLACE]],FIND("~",SUBSTITUTE(Tabla1[[#This Row],[ENLACE]],"/","~",2))+1,LEN(Tabla1[[#This Row],[ENLACE]]))</f>
        <v>olympiakos-nicosia</v>
      </c>
      <c r="B633" t="s">
        <v>633</v>
      </c>
      <c r="C633" t="str">
        <f>_xlfn.TEXTBEFORE(_xlfn.TEXTAFTER(Tabla1[[#This Row],[ENLACE]],"/",1),"/")</f>
        <v>cyprus</v>
      </c>
      <c r="D633" t="str">
        <f>Tabla1[[#This Row],[PAIS]]</f>
        <v>cyprus</v>
      </c>
      <c r="E633" s="8" t="str">
        <f ca="1">IF(VLOOKUP(Tabla1[[#This Row],[DIVISION]],$H$2:$I$44,2)="X","SI","NO")</f>
        <v>SI</v>
      </c>
    </row>
    <row r="634" spans="1:5" x14ac:dyDescent="0.3">
      <c r="A634" t="str">
        <f>MID(Tabla1[[#This Row],[ENLACE]],FIND("~",SUBSTITUTE(Tabla1[[#This Row],[ENLACE]],"/","~",2))+1,LEN(Tabla1[[#This Row],[ENLACE]]))</f>
        <v>ac-omonia</v>
      </c>
      <c r="B634" t="s">
        <v>634</v>
      </c>
      <c r="C634" t="str">
        <f>_xlfn.TEXTBEFORE(_xlfn.TEXTAFTER(Tabla1[[#This Row],[ENLACE]],"/",1),"/")</f>
        <v>cyprus</v>
      </c>
      <c r="D634" t="str">
        <f>Tabla1[[#This Row],[PAIS]]</f>
        <v>cyprus</v>
      </c>
      <c r="E634" s="8" t="str">
        <f ca="1">IF(VLOOKUP(Tabla1[[#This Row],[DIVISION]],$H$2:$I$44,2)="X","SI","NO")</f>
        <v>SI</v>
      </c>
    </row>
    <row r="635" spans="1:5" x14ac:dyDescent="0.3">
      <c r="A635" t="str">
        <f>MID(Tabla1[[#This Row],[ENLACE]],FIND("~",SUBSTITUTE(Tabla1[[#This Row],[ENLACE]],"/","~",2))+1,LEN(Tabla1[[#This Row],[ENLACE]]))</f>
        <v>pac-omonia-29m</v>
      </c>
      <c r="B635" t="s">
        <v>635</v>
      </c>
      <c r="C635" t="str">
        <f>_xlfn.TEXTBEFORE(_xlfn.TEXTAFTER(Tabla1[[#This Row],[ENLACE]],"/",1),"/")</f>
        <v>cyprus</v>
      </c>
      <c r="D635" t="str">
        <f>Tabla1[[#This Row],[PAIS]]</f>
        <v>cyprus</v>
      </c>
      <c r="E635" s="8" t="str">
        <f ca="1">IF(VLOOKUP(Tabla1[[#This Row],[DIVISION]],$H$2:$I$44,2)="X","SI","NO")</f>
        <v>SI</v>
      </c>
    </row>
    <row r="636" spans="1:5" x14ac:dyDescent="0.3">
      <c r="A636" t="str">
        <f>MID(Tabla1[[#This Row],[ENLACE]],FIND("~",SUBSTITUTE(Tabla1[[#This Row],[ENLACE]],"/","~",2))+1,LEN(Tabla1[[#This Row],[ENLACE]]))</f>
        <v>omonia-aradippou</v>
      </c>
      <c r="B636" t="s">
        <v>636</v>
      </c>
      <c r="C636" t="str">
        <f>_xlfn.TEXTBEFORE(_xlfn.TEXTAFTER(Tabla1[[#This Row],[ENLACE]],"/",1),"/")</f>
        <v>cyprus</v>
      </c>
      <c r="D636" t="str">
        <f>Tabla1[[#This Row],[PAIS]]</f>
        <v>cyprus</v>
      </c>
      <c r="E636" s="8" t="str">
        <f ca="1">IF(VLOOKUP(Tabla1[[#This Row],[DIVISION]],$H$2:$I$44,2)="X","SI","NO")</f>
        <v>SI</v>
      </c>
    </row>
    <row r="637" spans="1:5" x14ac:dyDescent="0.3">
      <c r="A637" t="str">
        <f>MID(Tabla1[[#This Row],[ENLACE]],FIND("~",SUBSTITUTE(Tabla1[[#This Row],[ENLACE]],"/","~",2))+1,LEN(Tabla1[[#This Row],[ENLACE]]))</f>
        <v>pafos-fc</v>
      </c>
      <c r="B637" t="s">
        <v>637</v>
      </c>
      <c r="C637" t="str">
        <f>_xlfn.TEXTBEFORE(_xlfn.TEXTAFTER(Tabla1[[#This Row],[ENLACE]],"/",1),"/")</f>
        <v>cyprus</v>
      </c>
      <c r="D637" t="str">
        <f>Tabla1[[#This Row],[PAIS]]</f>
        <v>cyprus</v>
      </c>
      <c r="E637" s="8" t="str">
        <f ca="1">IF(VLOOKUP(Tabla1[[#This Row],[DIVISION]],$H$2:$I$44,2)="X","SI","NO")</f>
        <v>SI</v>
      </c>
    </row>
    <row r="638" spans="1:5" x14ac:dyDescent="0.3">
      <c r="A638" t="str">
        <f>MID(Tabla1[[#This Row],[ENLACE]],FIND("~",SUBSTITUTE(Tabla1[[#This Row],[ENLACE]],"/","~",2))+1,LEN(Tabla1[[#This Row],[ENLACE]]))</f>
        <v>debrecen</v>
      </c>
      <c r="B638" t="s">
        <v>638</v>
      </c>
      <c r="C638" t="str">
        <f>_xlfn.TEXTBEFORE(_xlfn.TEXTAFTER(Tabla1[[#This Row],[ENLACE]],"/",1),"/")</f>
        <v>hungary</v>
      </c>
      <c r="D638" t="str">
        <f>Tabla1[[#This Row],[PAIS]]</f>
        <v>hungary</v>
      </c>
      <c r="E638" s="8" t="str">
        <f ca="1">IF(VLOOKUP(Tabla1[[#This Row],[DIVISION]],$H$2:$I$44,2)="X","SI","NO")</f>
        <v>SI</v>
      </c>
    </row>
    <row r="639" spans="1:5" x14ac:dyDescent="0.3">
      <c r="A639" t="str">
        <f>MID(Tabla1[[#This Row],[ENLACE]],FIND("~",SUBSTITUTE(Tabla1[[#This Row],[ENLACE]],"/","~",2))+1,LEN(Tabla1[[#This Row],[ENLACE]]))</f>
        <v>ferencvaros</v>
      </c>
      <c r="B639" t="s">
        <v>639</v>
      </c>
      <c r="C639" t="str">
        <f>_xlfn.TEXTBEFORE(_xlfn.TEXTAFTER(Tabla1[[#This Row],[ENLACE]],"/",1),"/")</f>
        <v>hungary</v>
      </c>
      <c r="D639" t="str">
        <f>Tabla1[[#This Row],[PAIS]]</f>
        <v>hungary</v>
      </c>
      <c r="E639" s="8" t="str">
        <f ca="1">IF(VLOOKUP(Tabla1[[#This Row],[DIVISION]],$H$2:$I$44,2)="X","SI","NO")</f>
        <v>SI</v>
      </c>
    </row>
    <row r="640" spans="1:5" x14ac:dyDescent="0.3">
      <c r="A640" t="str">
        <f>MID(Tabla1[[#This Row],[ENLACE]],FIND("~",SUBSTITUTE(Tabla1[[#This Row],[ENLACE]],"/","~",2))+1,LEN(Tabla1[[#This Row],[ENLACE]]))</f>
        <v>gyori-eto-fc</v>
      </c>
      <c r="B640" t="s">
        <v>640</v>
      </c>
      <c r="C640" t="str">
        <f>_xlfn.TEXTBEFORE(_xlfn.TEXTAFTER(Tabla1[[#This Row],[ENLACE]],"/",1),"/")</f>
        <v>hungary</v>
      </c>
      <c r="D640" t="str">
        <f>Tabla1[[#This Row],[PAIS]]</f>
        <v>hungary</v>
      </c>
      <c r="E640" s="8" t="str">
        <f ca="1">IF(VLOOKUP(Tabla1[[#This Row],[DIVISION]],$H$2:$I$44,2)="X","SI","NO")</f>
        <v>SI</v>
      </c>
    </row>
    <row r="641" spans="1:5" x14ac:dyDescent="0.3">
      <c r="A641" t="str">
        <f>MID(Tabla1[[#This Row],[ENLACE]],FIND("~",SUBSTITUTE(Tabla1[[#This Row],[ENLACE]],"/","~",2))+1,LEN(Tabla1[[#This Row],[ENLACE]]))</f>
        <v>budapest-honved-fc</v>
      </c>
      <c r="B641" t="s">
        <v>641</v>
      </c>
      <c r="C641" t="str">
        <f>_xlfn.TEXTBEFORE(_xlfn.TEXTAFTER(Tabla1[[#This Row],[ENLACE]],"/",1),"/")</f>
        <v>hungary</v>
      </c>
      <c r="D641" t="str">
        <f>Tabla1[[#This Row],[PAIS]]</f>
        <v>hungary</v>
      </c>
      <c r="E641" s="8" t="str">
        <f ca="1">IF(VLOOKUP(Tabla1[[#This Row],[DIVISION]],$H$2:$I$44,2)="X","SI","NO")</f>
        <v>SI</v>
      </c>
    </row>
    <row r="642" spans="1:5" x14ac:dyDescent="0.3">
      <c r="A642" t="str">
        <f>MID(Tabla1[[#This Row],[ENLACE]],FIND("~",SUBSTITUTE(Tabla1[[#This Row],[ENLACE]],"/","~",2))+1,LEN(Tabla1[[#This Row],[ENLACE]]))</f>
        <v>kisvarda-fc</v>
      </c>
      <c r="B642" t="s">
        <v>642</v>
      </c>
      <c r="C642" t="str">
        <f>_xlfn.TEXTBEFORE(_xlfn.TEXTAFTER(Tabla1[[#This Row],[ENLACE]],"/",1),"/")</f>
        <v>hungary</v>
      </c>
      <c r="D642" t="str">
        <f>Tabla1[[#This Row],[PAIS]]</f>
        <v>hungary</v>
      </c>
      <c r="E642" s="8" t="str">
        <f ca="1">IF(VLOOKUP(Tabla1[[#This Row],[DIVISION]],$H$2:$I$44,2)="X","SI","NO")</f>
        <v>SI</v>
      </c>
    </row>
    <row r="643" spans="1:5" x14ac:dyDescent="0.3">
      <c r="A643" t="str">
        <f>MID(Tabla1[[#This Row],[ENLACE]],FIND("~",SUBSTITUTE(Tabla1[[#This Row],[ENLACE]],"/","~",2))+1,LEN(Tabla1[[#This Row],[ENLACE]]))</f>
        <v>mtk-budapest-fc</v>
      </c>
      <c r="B643" t="s">
        <v>643</v>
      </c>
      <c r="C643" t="str">
        <f>_xlfn.TEXTBEFORE(_xlfn.TEXTAFTER(Tabla1[[#This Row],[ENLACE]],"/",1),"/")</f>
        <v>hungary</v>
      </c>
      <c r="D643" t="str">
        <f>Tabla1[[#This Row],[PAIS]]</f>
        <v>hungary</v>
      </c>
      <c r="E643" s="8" t="str">
        <f ca="1">IF(VLOOKUP(Tabla1[[#This Row],[DIVISION]],$H$2:$I$44,2)="X","SI","NO")</f>
        <v>SI</v>
      </c>
    </row>
    <row r="644" spans="1:5" x14ac:dyDescent="0.3">
      <c r="A644" t="str">
        <f>MID(Tabla1[[#This Row],[ENLACE]],FIND("~",SUBSTITUTE(Tabla1[[#This Row],[ENLACE]],"/","~",2))+1,LEN(Tabla1[[#This Row],[ENLACE]]))</f>
        <v>nyiregyhaza-spartacus-fc</v>
      </c>
      <c r="B644" t="s">
        <v>644</v>
      </c>
      <c r="C644" t="str">
        <f>_xlfn.TEXTBEFORE(_xlfn.TEXTAFTER(Tabla1[[#This Row],[ENLACE]],"/",1),"/")</f>
        <v>hungary</v>
      </c>
      <c r="D644" t="str">
        <f>Tabla1[[#This Row],[PAIS]]</f>
        <v>hungary</v>
      </c>
      <c r="E644" s="8" t="str">
        <f ca="1">IF(VLOOKUP(Tabla1[[#This Row],[DIVISION]],$H$2:$I$44,2)="X","SI","NO")</f>
        <v>SI</v>
      </c>
    </row>
    <row r="645" spans="1:5" x14ac:dyDescent="0.3">
      <c r="A645" t="str">
        <f>MID(Tabla1[[#This Row],[ENLACE]],FIND("~",SUBSTITUTE(Tabla1[[#This Row],[ENLACE]],"/","~",2))+1,LEN(Tabla1[[#This Row],[ENLACE]]))</f>
        <v>paksi-fc</v>
      </c>
      <c r="B645" t="s">
        <v>645</v>
      </c>
      <c r="C645" t="str">
        <f>_xlfn.TEXTBEFORE(_xlfn.TEXTAFTER(Tabla1[[#This Row],[ENLACE]],"/",1),"/")</f>
        <v>hungary</v>
      </c>
      <c r="D645" t="str">
        <f>Tabla1[[#This Row],[PAIS]]</f>
        <v>hungary</v>
      </c>
      <c r="E645" s="8" t="str">
        <f ca="1">IF(VLOOKUP(Tabla1[[#This Row],[DIVISION]],$H$2:$I$44,2)="X","SI","NO")</f>
        <v>SI</v>
      </c>
    </row>
    <row r="646" spans="1:5" x14ac:dyDescent="0.3">
      <c r="A646" t="str">
        <f>MID(Tabla1[[#This Row],[ENLACE]],FIND("~",SUBSTITUTE(Tabla1[[#This Row],[ENLACE]],"/","~",2))+1,LEN(Tabla1[[#This Row],[ENLACE]]))</f>
        <v>puskas-akademia-fc</v>
      </c>
      <c r="B646" t="s">
        <v>646</v>
      </c>
      <c r="C646" t="str">
        <f>_xlfn.TEXTBEFORE(_xlfn.TEXTAFTER(Tabla1[[#This Row],[ENLACE]],"/",1),"/")</f>
        <v>hungary</v>
      </c>
      <c r="D646" t="str">
        <f>Tabla1[[#This Row],[PAIS]]</f>
        <v>hungary</v>
      </c>
      <c r="E646" s="8" t="str">
        <f ca="1">IF(VLOOKUP(Tabla1[[#This Row],[DIVISION]],$H$2:$I$44,2)="X","SI","NO")</f>
        <v>SI</v>
      </c>
    </row>
    <row r="647" spans="1:5" x14ac:dyDescent="0.3">
      <c r="A647" t="str">
        <f>MID(Tabla1[[#This Row],[ENLACE]],FIND("~",SUBSTITUTE(Tabla1[[#This Row],[ENLACE]],"/","~",2))+1,LEN(Tabla1[[#This Row],[ENLACE]]))</f>
        <v>ujpest-fc</v>
      </c>
      <c r="B647" t="s">
        <v>647</v>
      </c>
      <c r="C647" t="str">
        <f>_xlfn.TEXTBEFORE(_xlfn.TEXTAFTER(Tabla1[[#This Row],[ENLACE]],"/",1),"/")</f>
        <v>hungary</v>
      </c>
      <c r="D647" t="str">
        <f>Tabla1[[#This Row],[PAIS]]</f>
        <v>hungary</v>
      </c>
      <c r="E647" s="8" t="str">
        <f ca="1">IF(VLOOKUP(Tabla1[[#This Row],[DIVISION]],$H$2:$I$44,2)="X","SI","NO")</f>
        <v>SI</v>
      </c>
    </row>
    <row r="648" spans="1:5" x14ac:dyDescent="0.3">
      <c r="A648" t="str">
        <f>MID(Tabla1[[#This Row],[ENLACE]],FIND("~",SUBSTITUTE(Tabla1[[#This Row],[ENLACE]],"/","~",2))+1,LEN(Tabla1[[#This Row],[ENLACE]]))</f>
        <v>vasas-sc</v>
      </c>
      <c r="B648" t="s">
        <v>648</v>
      </c>
      <c r="C648" t="str">
        <f>_xlfn.TEXTBEFORE(_xlfn.TEXTAFTER(Tabla1[[#This Row],[ENLACE]],"/",1),"/")</f>
        <v>hungary</v>
      </c>
      <c r="D648" t="str">
        <f>Tabla1[[#This Row],[PAIS]]</f>
        <v>hungary</v>
      </c>
      <c r="E648" s="8" t="str">
        <f ca="1">IF(VLOOKUP(Tabla1[[#This Row],[DIVISION]],$H$2:$I$44,2)="X","SI","NO")</f>
        <v>SI</v>
      </c>
    </row>
    <row r="649" spans="1:5" x14ac:dyDescent="0.3">
      <c r="A649" t="str">
        <f>MID(Tabla1[[#This Row],[ENLACE]],FIND("~",SUBSTITUTE(Tabla1[[#This Row],[ENLACE]],"/","~",2))+1,LEN(Tabla1[[#This Row],[ENLACE]]))</f>
        <v>zalaegerszeg-te</v>
      </c>
      <c r="B649" t="s">
        <v>649</v>
      </c>
      <c r="C649" t="str">
        <f>_xlfn.TEXTBEFORE(_xlfn.TEXTAFTER(Tabla1[[#This Row],[ENLACE]],"/",1),"/")</f>
        <v>hungary</v>
      </c>
      <c r="D649" t="str">
        <f>Tabla1[[#This Row],[PAIS]]</f>
        <v>hungary</v>
      </c>
      <c r="E649" s="8" t="str">
        <f ca="1">IF(VLOOKUP(Tabla1[[#This Row],[DIVISION]],$H$2:$I$44,2)="X","SI","NO")</f>
        <v>SI</v>
      </c>
    </row>
    <row r="650" spans="1:5" x14ac:dyDescent="0.3">
      <c r="A650" t="str">
        <f>MID(Tabla1[[#This Row],[ENLACE]],FIND("~",SUBSTITUTE(Tabla1[[#This Row],[ENLACE]],"/","~",2))+1,LEN(Tabla1[[#This Row],[ENLACE]]))</f>
        <v>albion-fc</v>
      </c>
      <c r="B650" t="s">
        <v>650</v>
      </c>
      <c r="C650" t="str">
        <f>_xlfn.TEXTBEFORE(_xlfn.TEXTAFTER(Tabla1[[#This Row],[ENLACE]],"/",1),"/")</f>
        <v>uruguay</v>
      </c>
      <c r="D650" t="str">
        <f>Tabla1[[#This Row],[PAIS]]</f>
        <v>uruguay</v>
      </c>
      <c r="E650" s="8" t="str">
        <f ca="1">IF(VLOOKUP(Tabla1[[#This Row],[DIVISION]],$H$2:$I$44,2)="X","SI","NO")</f>
        <v>SI</v>
      </c>
    </row>
    <row r="651" spans="1:5" x14ac:dyDescent="0.3">
      <c r="A651" t="str">
        <f>MID(Tabla1[[#This Row],[ENLACE]],FIND("~",SUBSTITUTE(Tabla1[[#This Row],[ENLACE]],"/","~",2))+1,LEN(Tabla1[[#This Row],[ENLACE]]))</f>
        <v>boston-river</v>
      </c>
      <c r="B651" t="s">
        <v>651</v>
      </c>
      <c r="C651" t="str">
        <f>_xlfn.TEXTBEFORE(_xlfn.TEXTAFTER(Tabla1[[#This Row],[ENLACE]],"/",1),"/")</f>
        <v>uruguay</v>
      </c>
      <c r="D651" t="str">
        <f>Tabla1[[#This Row],[PAIS]]</f>
        <v>uruguay</v>
      </c>
      <c r="E651" s="8" t="str">
        <f ca="1">IF(VLOOKUP(Tabla1[[#This Row],[DIVISION]],$H$2:$I$44,2)="X","SI","NO")</f>
        <v>SI</v>
      </c>
    </row>
    <row r="652" spans="1:5" x14ac:dyDescent="0.3">
      <c r="A652" t="str">
        <f>MID(Tabla1[[#This Row],[ENLACE]],FIND("~",SUBSTITUTE(Tabla1[[#This Row],[ENLACE]],"/","~",2))+1,LEN(Tabla1[[#This Row],[ENLACE]]))</f>
        <v>central-espanol</v>
      </c>
      <c r="B652" t="s">
        <v>652</v>
      </c>
      <c r="C652" t="str">
        <f>_xlfn.TEXTBEFORE(_xlfn.TEXTAFTER(Tabla1[[#This Row],[ENLACE]],"/",1),"/")</f>
        <v>uruguay</v>
      </c>
      <c r="D652" t="str">
        <f>Tabla1[[#This Row],[PAIS]]</f>
        <v>uruguay</v>
      </c>
      <c r="E652" s="8" t="str">
        <f ca="1">IF(VLOOKUP(Tabla1[[#This Row],[DIVISION]],$H$2:$I$44,2)="X","SI","NO")</f>
        <v>SI</v>
      </c>
    </row>
    <row r="653" spans="1:5" x14ac:dyDescent="0.3">
      <c r="A653" t="str">
        <f>MID(Tabla1[[#This Row],[ENLACE]],FIND("~",SUBSTITUTE(Tabla1[[#This Row],[ENLACE]],"/","~",2))+1,LEN(Tabla1[[#This Row],[ENLACE]]))</f>
        <v>club-atletico-cerro</v>
      </c>
      <c r="B653" t="s">
        <v>653</v>
      </c>
      <c r="C653" t="str">
        <f>_xlfn.TEXTBEFORE(_xlfn.TEXTAFTER(Tabla1[[#This Row],[ENLACE]],"/",1),"/")</f>
        <v>uruguay</v>
      </c>
      <c r="D653" t="str">
        <f>Tabla1[[#This Row],[PAIS]]</f>
        <v>uruguay</v>
      </c>
      <c r="E653" s="8" t="str">
        <f ca="1">IF(VLOOKUP(Tabla1[[#This Row],[DIVISION]],$H$2:$I$44,2)="X","SI","NO")</f>
        <v>SI</v>
      </c>
    </row>
    <row r="654" spans="1:5" x14ac:dyDescent="0.3">
      <c r="A654" t="str">
        <f>MID(Tabla1[[#This Row],[ENLACE]],FIND("~",SUBSTITUTE(Tabla1[[#This Row],[ENLACE]],"/","~",2))+1,LEN(Tabla1[[#This Row],[ENLACE]]))</f>
        <v>cerro-largo-fc</v>
      </c>
      <c r="B654" t="s">
        <v>654</v>
      </c>
      <c r="C654" t="str">
        <f>_xlfn.TEXTBEFORE(_xlfn.TEXTAFTER(Tabla1[[#This Row],[ENLACE]],"/",1),"/")</f>
        <v>uruguay</v>
      </c>
      <c r="D654" t="str">
        <f>Tabla1[[#This Row],[PAIS]]</f>
        <v>uruguay</v>
      </c>
      <c r="E654" s="8" t="str">
        <f ca="1">IF(VLOOKUP(Tabla1[[#This Row],[DIVISION]],$H$2:$I$44,2)="X","SI","NO")</f>
        <v>SI</v>
      </c>
    </row>
    <row r="655" spans="1:5" x14ac:dyDescent="0.3">
      <c r="A655" t="str">
        <f>MID(Tabla1[[#This Row],[ENLACE]],FIND("~",SUBSTITUTE(Tabla1[[#This Row],[ENLACE]],"/","~",2))+1,LEN(Tabla1[[#This Row],[ENLACE]]))</f>
        <v>danubio-fc</v>
      </c>
      <c r="B655" t="s">
        <v>655</v>
      </c>
      <c r="C655" t="str">
        <f>_xlfn.TEXTBEFORE(_xlfn.TEXTAFTER(Tabla1[[#This Row],[ENLACE]],"/",1),"/")</f>
        <v>uruguay</v>
      </c>
      <c r="D655" t="str">
        <f>Tabla1[[#This Row],[PAIS]]</f>
        <v>uruguay</v>
      </c>
      <c r="E655" s="8" t="str">
        <f ca="1">IF(VLOOKUP(Tabla1[[#This Row],[DIVISION]],$H$2:$I$44,2)="X","SI","NO")</f>
        <v>SI</v>
      </c>
    </row>
    <row r="656" spans="1:5" x14ac:dyDescent="0.3">
      <c r="A656" t="str">
        <f>MID(Tabla1[[#This Row],[ENLACE]],FIND("~",SUBSTITUTE(Tabla1[[#This Row],[ENLACE]],"/","~",2))+1,LEN(Tabla1[[#This Row],[ENLACE]]))</f>
        <v>defensor-sporting</v>
      </c>
      <c r="B656" t="s">
        <v>656</v>
      </c>
      <c r="C656" t="str">
        <f>_xlfn.TEXTBEFORE(_xlfn.TEXTAFTER(Tabla1[[#This Row],[ENLACE]],"/",1),"/")</f>
        <v>uruguay</v>
      </c>
      <c r="D656" t="str">
        <f>Tabla1[[#This Row],[PAIS]]</f>
        <v>uruguay</v>
      </c>
      <c r="E656" s="8" t="str">
        <f ca="1">IF(VLOOKUP(Tabla1[[#This Row],[DIVISION]],$H$2:$I$44,2)="X","SI","NO")</f>
        <v>SI</v>
      </c>
    </row>
    <row r="657" spans="1:5" x14ac:dyDescent="0.3">
      <c r="A657" t="str">
        <f>MID(Tabla1[[#This Row],[ENLACE]],FIND("~",SUBSTITUTE(Tabla1[[#This Row],[ENLACE]],"/","~",2))+1,LEN(Tabla1[[#This Row],[ENLACE]]))</f>
        <v>juventud-de-las-piedras</v>
      </c>
      <c r="B657" t="s">
        <v>657</v>
      </c>
      <c r="C657" t="str">
        <f>_xlfn.TEXTBEFORE(_xlfn.TEXTAFTER(Tabla1[[#This Row],[ENLACE]],"/",1),"/")</f>
        <v>uruguay</v>
      </c>
      <c r="D657" t="str">
        <f>Tabla1[[#This Row],[PAIS]]</f>
        <v>uruguay</v>
      </c>
      <c r="E657" s="8" t="str">
        <f ca="1">IF(VLOOKUP(Tabla1[[#This Row],[DIVISION]],$H$2:$I$44,2)="X","SI","NO")</f>
        <v>SI</v>
      </c>
    </row>
    <row r="658" spans="1:5" x14ac:dyDescent="0.3">
      <c r="A658" t="str">
        <f>MID(Tabla1[[#This Row],[ENLACE]],FIND("~",SUBSTITUTE(Tabla1[[#This Row],[ENLACE]],"/","~",2))+1,LEN(Tabla1[[#This Row],[ENLACE]]))</f>
        <v>liverpool-fc-montevideo</v>
      </c>
      <c r="B658" t="s">
        <v>658</v>
      </c>
      <c r="C658" t="str">
        <f>_xlfn.TEXTBEFORE(_xlfn.TEXTAFTER(Tabla1[[#This Row],[ENLACE]],"/",1),"/")</f>
        <v>uruguay</v>
      </c>
      <c r="D658" t="str">
        <f>Tabla1[[#This Row],[PAIS]]</f>
        <v>uruguay</v>
      </c>
      <c r="E658" s="8" t="str">
        <f ca="1">IF(VLOOKUP(Tabla1[[#This Row],[DIVISION]],$H$2:$I$44,2)="X","SI","NO")</f>
        <v>SI</v>
      </c>
    </row>
    <row r="659" spans="1:5" x14ac:dyDescent="0.3">
      <c r="A659" t="str">
        <f>MID(Tabla1[[#This Row],[ENLACE]],FIND("~",SUBSTITUTE(Tabla1[[#This Row],[ENLACE]],"/","~",2))+1,LEN(Tabla1[[#This Row],[ENLACE]]))</f>
        <v>deportivo-maldonado</v>
      </c>
      <c r="B659" t="s">
        <v>659</v>
      </c>
      <c r="C659" t="str">
        <f>_xlfn.TEXTBEFORE(_xlfn.TEXTAFTER(Tabla1[[#This Row],[ENLACE]],"/",1),"/")</f>
        <v>uruguay</v>
      </c>
      <c r="D659" t="str">
        <f>Tabla1[[#This Row],[PAIS]]</f>
        <v>uruguay</v>
      </c>
      <c r="E659" s="8" t="str">
        <f ca="1">IF(VLOOKUP(Tabla1[[#This Row],[DIVISION]],$H$2:$I$44,2)="X","SI","NO")</f>
        <v>SI</v>
      </c>
    </row>
    <row r="660" spans="1:5" x14ac:dyDescent="0.3">
      <c r="A660" t="str">
        <f>MID(Tabla1[[#This Row],[ENLACE]],FIND("~",SUBSTITUTE(Tabla1[[#This Row],[ENLACE]],"/","~",2))+1,LEN(Tabla1[[#This Row],[ENLACE]]))</f>
        <v>montevideo-city-torque</v>
      </c>
      <c r="B660" t="s">
        <v>660</v>
      </c>
      <c r="C660" t="str">
        <f>_xlfn.TEXTBEFORE(_xlfn.TEXTAFTER(Tabla1[[#This Row],[ENLACE]],"/",1),"/")</f>
        <v>uruguay</v>
      </c>
      <c r="D660" t="str">
        <f>Tabla1[[#This Row],[PAIS]]</f>
        <v>uruguay</v>
      </c>
      <c r="E660" s="8" t="str">
        <f ca="1">IF(VLOOKUP(Tabla1[[#This Row],[DIVISION]],$H$2:$I$44,2)="X","SI","NO")</f>
        <v>SI</v>
      </c>
    </row>
    <row r="661" spans="1:5" x14ac:dyDescent="0.3">
      <c r="A661" t="str">
        <f>MID(Tabla1[[#This Row],[ENLACE]],FIND("~",SUBSTITUTE(Tabla1[[#This Row],[ENLACE]],"/","~",2))+1,LEN(Tabla1[[#This Row],[ENLACE]]))</f>
        <v>club-nacional-de-football</v>
      </c>
      <c r="B661" t="s">
        <v>661</v>
      </c>
      <c r="C661" t="str">
        <f>_xlfn.TEXTBEFORE(_xlfn.TEXTAFTER(Tabla1[[#This Row],[ENLACE]],"/",1),"/")</f>
        <v>uruguay</v>
      </c>
      <c r="D661" t="str">
        <f>Tabla1[[#This Row],[PAIS]]</f>
        <v>uruguay</v>
      </c>
      <c r="E661" s="8" t="str">
        <f ca="1">IF(VLOOKUP(Tabla1[[#This Row],[DIVISION]],$H$2:$I$44,2)="X","SI","NO")</f>
        <v>SI</v>
      </c>
    </row>
    <row r="662" spans="1:5" x14ac:dyDescent="0.3">
      <c r="A662" t="str">
        <f>MID(Tabla1[[#This Row],[ENLACE]],FIND("~",SUBSTITUTE(Tabla1[[#This Row],[ENLACE]],"/","~",2))+1,LEN(Tabla1[[#This Row],[ENLACE]]))</f>
        <v>penarol</v>
      </c>
      <c r="B662" t="s">
        <v>662</v>
      </c>
      <c r="C662" t="str">
        <f>_xlfn.TEXTBEFORE(_xlfn.TEXTAFTER(Tabla1[[#This Row],[ENLACE]],"/",1),"/")</f>
        <v>uruguay</v>
      </c>
      <c r="D662" t="str">
        <f>Tabla1[[#This Row],[PAIS]]</f>
        <v>uruguay</v>
      </c>
      <c r="E662" s="8" t="str">
        <f ca="1">IF(VLOOKUP(Tabla1[[#This Row],[DIVISION]],$H$2:$I$44,2)="X","SI","NO")</f>
        <v>SI</v>
      </c>
    </row>
    <row r="663" spans="1:5" x14ac:dyDescent="0.3">
      <c r="A663" t="str">
        <f>MID(Tabla1[[#This Row],[ENLACE]],FIND("~",SUBSTITUTE(Tabla1[[#This Row],[ENLACE]],"/","~",2))+1,LEN(Tabla1[[#This Row],[ENLACE]]))</f>
        <v>club-atletico-progreso</v>
      </c>
      <c r="B663" t="s">
        <v>663</v>
      </c>
      <c r="C663" t="str">
        <f>_xlfn.TEXTBEFORE(_xlfn.TEXTAFTER(Tabla1[[#This Row],[ENLACE]],"/",1),"/")</f>
        <v>uruguay</v>
      </c>
      <c r="D663" t="str">
        <f>Tabla1[[#This Row],[PAIS]]</f>
        <v>uruguay</v>
      </c>
      <c r="E663" s="8" t="str">
        <f ca="1">IF(VLOOKUP(Tabla1[[#This Row],[DIVISION]],$H$2:$I$44,2)="X","SI","NO")</f>
        <v>SI</v>
      </c>
    </row>
    <row r="664" spans="1:5" x14ac:dyDescent="0.3">
      <c r="A664" t="str">
        <f>MID(Tabla1[[#This Row],[ENLACE]],FIND("~",SUBSTITUTE(Tabla1[[#This Row],[ENLACE]],"/","~",2))+1,LEN(Tabla1[[#This Row],[ENLACE]]))</f>
        <v>racing-club-de-montevideo</v>
      </c>
      <c r="B664" t="s">
        <v>664</v>
      </c>
      <c r="C664" t="str">
        <f>_xlfn.TEXTBEFORE(_xlfn.TEXTAFTER(Tabla1[[#This Row],[ENLACE]],"/",1),"/")</f>
        <v>uruguay</v>
      </c>
      <c r="D664" t="str">
        <f>Tabla1[[#This Row],[PAIS]]</f>
        <v>uruguay</v>
      </c>
      <c r="E664" s="8" t="str">
        <f ca="1">IF(VLOOKUP(Tabla1[[#This Row],[DIVISION]],$H$2:$I$44,2)="X","SI","NO")</f>
        <v>SI</v>
      </c>
    </row>
    <row r="665" spans="1:5" x14ac:dyDescent="0.3">
      <c r="A665" t="str">
        <f>MID(Tabla1[[#This Row],[ENLACE]],FIND("~",SUBSTITUTE(Tabla1[[#This Row],[ENLACE]],"/","~",2))+1,LEN(Tabla1[[#This Row],[ENLACE]]))</f>
        <v>montevideo-wanderers-fc</v>
      </c>
      <c r="B665" t="s">
        <v>665</v>
      </c>
      <c r="C665" t="str">
        <f>_xlfn.TEXTBEFORE(_xlfn.TEXTAFTER(Tabla1[[#This Row],[ENLACE]],"/",1),"/")</f>
        <v>uruguay</v>
      </c>
      <c r="D665" t="str">
        <f>Tabla1[[#This Row],[PAIS]]</f>
        <v>uruguay</v>
      </c>
      <c r="E665" s="8" t="str">
        <f ca="1">IF(VLOOKUP(Tabla1[[#This Row],[DIVISION]],$H$2:$I$44,2)="X","SI","NO")</f>
        <v>SI</v>
      </c>
    </row>
    <row r="666" spans="1:5" x14ac:dyDescent="0.3">
      <c r="A666" t="str">
        <f>MID(Tabla1[[#This Row],[ENLACE]],FIND("~",SUBSTITUTE(Tabla1[[#This Row],[ENLACE]],"/","~",2))+1,LEN(Tabla1[[#This Row],[ENLACE]]))</f>
        <v>fsc-bukovyna-chernivtsi</v>
      </c>
      <c r="B666" t="s">
        <v>666</v>
      </c>
      <c r="C666" t="str">
        <f>_xlfn.TEXTBEFORE(_xlfn.TEXTAFTER(Tabla1[[#This Row],[ENLACE]],"/",1),"/")</f>
        <v>ukraine</v>
      </c>
      <c r="D666" t="str">
        <f>Tabla1[[#This Row],[PAIS]]</f>
        <v>ukraine</v>
      </c>
      <c r="E666" s="8" t="str">
        <f ca="1">IF(VLOOKUP(Tabla1[[#This Row],[DIVISION]],$H$2:$I$44,2)="X","SI","NO")</f>
        <v>SI</v>
      </c>
    </row>
    <row r="667" spans="1:5" x14ac:dyDescent="0.3">
      <c r="A667" t="str">
        <f>MID(Tabla1[[#This Row],[ENLACE]],FIND("~",SUBSTITUTE(Tabla1[[#This Row],[ENLACE]],"/","~",2))+1,LEN(Tabla1[[#This Row],[ENLACE]]))</f>
        <v>fc-chornomorets-odessa</v>
      </c>
      <c r="B667" t="s">
        <v>667</v>
      </c>
      <c r="C667" t="str">
        <f>_xlfn.TEXTBEFORE(_xlfn.TEXTAFTER(Tabla1[[#This Row],[ENLACE]],"/",1),"/")</f>
        <v>ukraine</v>
      </c>
      <c r="D667" t="str">
        <f>Tabla1[[#This Row],[PAIS]]</f>
        <v>ukraine</v>
      </c>
      <c r="E667" s="8" t="str">
        <f ca="1">IF(VLOOKUP(Tabla1[[#This Row],[DIVISION]],$H$2:$I$44,2)="X","SI","NO")</f>
        <v>SI</v>
      </c>
    </row>
    <row r="668" spans="1:5" x14ac:dyDescent="0.3">
      <c r="A668" t="str">
        <f>MID(Tabla1[[#This Row],[ENLACE]],FIND("~",SUBSTITUTE(Tabla1[[#This Row],[ENLACE]],"/","~",2))+1,LEN(Tabla1[[#This Row],[ENLACE]]))</f>
        <v>fc-dynamo-kyiv</v>
      </c>
      <c r="B668" t="s">
        <v>668</v>
      </c>
      <c r="C668" t="str">
        <f>_xlfn.TEXTBEFORE(_xlfn.TEXTAFTER(Tabla1[[#This Row],[ENLACE]],"/",1),"/")</f>
        <v>ukraine</v>
      </c>
      <c r="D668" t="str">
        <f>Tabla1[[#This Row],[PAIS]]</f>
        <v>ukraine</v>
      </c>
      <c r="E668" s="8" t="str">
        <f ca="1">IF(VLOOKUP(Tabla1[[#This Row],[DIVISION]],$H$2:$I$44,2)="X","SI","NO")</f>
        <v>SI</v>
      </c>
    </row>
    <row r="669" spans="1:5" x14ac:dyDescent="0.3">
      <c r="A669" t="str">
        <f>MID(Tabla1[[#This Row],[ENLACE]],FIND("~",SUBSTITUTE(Tabla1[[#This Row],[ENLACE]],"/","~",2))+1,LEN(Tabla1[[#This Row],[ENLACE]]))</f>
        <v>fc-epitsentr-kamianets-podilskyi</v>
      </c>
      <c r="B669" t="s">
        <v>669</v>
      </c>
      <c r="C669" t="str">
        <f>_xlfn.TEXTBEFORE(_xlfn.TEXTAFTER(Tabla1[[#This Row],[ENLACE]],"/",1),"/")</f>
        <v>ukraine</v>
      </c>
      <c r="D669" t="str">
        <f>Tabla1[[#This Row],[PAIS]]</f>
        <v>ukraine</v>
      </c>
      <c r="E669" s="8" t="str">
        <f ca="1">IF(VLOOKUP(Tabla1[[#This Row],[DIVISION]],$H$2:$I$44,2)="X","SI","NO")</f>
        <v>SI</v>
      </c>
    </row>
    <row r="670" spans="1:5" x14ac:dyDescent="0.3">
      <c r="A670" t="str">
        <f>MID(Tabla1[[#This Row],[ENLACE]],FIND("~",SUBSTITUTE(Tabla1[[#This Row],[ENLACE]],"/","~",2))+1,LEN(Tabla1[[#This Row],[ENLACE]]))</f>
        <v>fc-kharkiv</v>
      </c>
      <c r="B670" t="s">
        <v>670</v>
      </c>
      <c r="C670" t="str">
        <f>_xlfn.TEXTBEFORE(_xlfn.TEXTAFTER(Tabla1[[#This Row],[ENLACE]],"/",1),"/")</f>
        <v>ukraine</v>
      </c>
      <c r="D670" t="str">
        <f>Tabla1[[#This Row],[PAIS]]</f>
        <v>ukraine</v>
      </c>
      <c r="E670" s="8" t="str">
        <f ca="1">IF(VLOOKUP(Tabla1[[#This Row],[DIVISION]],$H$2:$I$44,2)="X","SI","NO")</f>
        <v>SI</v>
      </c>
    </row>
    <row r="671" spans="1:5" x14ac:dyDescent="0.3">
      <c r="A671" t="str">
        <f>MID(Tabla1[[#This Row],[ENLACE]],FIND("~",SUBSTITUTE(Tabla1[[#This Row],[ENLACE]],"/","~",2))+1,LEN(Tabla1[[#This Row],[ENLACE]]))</f>
        <v>fc-karpaty-lviv</v>
      </c>
      <c r="B671" t="s">
        <v>671</v>
      </c>
      <c r="C671" t="str">
        <f>_xlfn.TEXTBEFORE(_xlfn.TEXTAFTER(Tabla1[[#This Row],[ENLACE]],"/",1),"/")</f>
        <v>ukraine</v>
      </c>
      <c r="D671" t="str">
        <f>Tabla1[[#This Row],[PAIS]]</f>
        <v>ukraine</v>
      </c>
      <c r="E671" s="8" t="str">
        <f ca="1">IF(VLOOKUP(Tabla1[[#This Row],[DIVISION]],$H$2:$I$44,2)="X","SI","NO")</f>
        <v>SI</v>
      </c>
    </row>
    <row r="672" spans="1:5" x14ac:dyDescent="0.3">
      <c r="A672" t="str">
        <f>MID(Tabla1[[#This Row],[ENLACE]],FIND("~",SUBSTITUTE(Tabla1[[#This Row],[ENLACE]],"/","~",2))+1,LEN(Tabla1[[#This Row],[ENLACE]]))</f>
        <v>fc-kolos-kovalivka</v>
      </c>
      <c r="B672" t="s">
        <v>672</v>
      </c>
      <c r="C672" t="str">
        <f>_xlfn.TEXTBEFORE(_xlfn.TEXTAFTER(Tabla1[[#This Row],[ENLACE]],"/",1),"/")</f>
        <v>ukraine</v>
      </c>
      <c r="D672" t="str">
        <f>Tabla1[[#This Row],[PAIS]]</f>
        <v>ukraine</v>
      </c>
      <c r="E672" s="8" t="str">
        <f ca="1">IF(VLOOKUP(Tabla1[[#This Row],[DIVISION]],$H$2:$I$44,2)="X","SI","NO")</f>
        <v>SI</v>
      </c>
    </row>
    <row r="673" spans="1:5" x14ac:dyDescent="0.3">
      <c r="A673" t="str">
        <f>MID(Tabla1[[#This Row],[ENLACE]],FIND("~",SUBSTITUTE(Tabla1[[#This Row],[ENLACE]],"/","~",2))+1,LEN(Tabla1[[#This Row],[ENLACE]]))</f>
        <v>fc-kryvbas-kryvyi-rih</v>
      </c>
      <c r="B673" t="s">
        <v>673</v>
      </c>
      <c r="C673" t="str">
        <f>_xlfn.TEXTBEFORE(_xlfn.TEXTAFTER(Tabla1[[#This Row],[ENLACE]],"/",1),"/")</f>
        <v>ukraine</v>
      </c>
      <c r="D673" t="str">
        <f>Tabla1[[#This Row],[PAIS]]</f>
        <v>ukraine</v>
      </c>
      <c r="E673" s="8" t="str">
        <f ca="1">IF(VLOOKUP(Tabla1[[#This Row],[DIVISION]],$H$2:$I$44,2)="X","SI","NO")</f>
        <v>SI</v>
      </c>
    </row>
    <row r="674" spans="1:5" x14ac:dyDescent="0.3">
      <c r="A674" t="str">
        <f>MID(Tabla1[[#This Row],[ENLACE]],FIND("~",SUBSTITUTE(Tabla1[[#This Row],[ENLACE]],"/","~",2))+1,LEN(Tabla1[[#This Row],[ENLACE]]))</f>
        <v>fc-kudrivka</v>
      </c>
      <c r="B674" t="s">
        <v>674</v>
      </c>
      <c r="C674" t="str">
        <f>_xlfn.TEXTBEFORE(_xlfn.TEXTAFTER(Tabla1[[#This Row],[ENLACE]],"/",1),"/")</f>
        <v>ukraine</v>
      </c>
      <c r="D674" t="str">
        <f>Tabla1[[#This Row],[PAIS]]</f>
        <v>ukraine</v>
      </c>
      <c r="E674" s="8" t="str">
        <f ca="1">IF(VLOOKUP(Tabla1[[#This Row],[DIVISION]],$H$2:$I$44,2)="X","SI","NO")</f>
        <v>SI</v>
      </c>
    </row>
    <row r="675" spans="1:5" x14ac:dyDescent="0.3">
      <c r="A675" t="str">
        <f>MID(Tabla1[[#This Row],[ENLACE]],FIND("~",SUBSTITUTE(Tabla1[[#This Row],[ENLACE]],"/","~",2))+1,LEN(Tabla1[[#This Row],[ENLACE]]))</f>
        <v>fc-livyi-bereh-kyiv</v>
      </c>
      <c r="B675" t="s">
        <v>675</v>
      </c>
      <c r="C675" t="str">
        <f>_xlfn.TEXTBEFORE(_xlfn.TEXTAFTER(Tabla1[[#This Row],[ENLACE]],"/",1),"/")</f>
        <v>ukraine</v>
      </c>
      <c r="D675" t="str">
        <f>Tabla1[[#This Row],[PAIS]]</f>
        <v>ukraine</v>
      </c>
      <c r="E675" s="8" t="str">
        <f ca="1">IF(VLOOKUP(Tabla1[[#This Row],[DIVISION]],$H$2:$I$44,2)="X","SI","NO")</f>
        <v>SI</v>
      </c>
    </row>
    <row r="676" spans="1:5" x14ac:dyDescent="0.3">
      <c r="A676" t="str">
        <f>MID(Tabla1[[#This Row],[ENLACE]],FIND("~",SUBSTITUTE(Tabla1[[#This Row],[ENLACE]],"/","~",2))+1,LEN(Tabla1[[#This Row],[ENLACE]]))</f>
        <v>fc-lnz-cherkasy</v>
      </c>
      <c r="B676" t="s">
        <v>676</v>
      </c>
      <c r="C676" t="str">
        <f>_xlfn.TEXTBEFORE(_xlfn.TEXTAFTER(Tabla1[[#This Row],[ENLACE]],"/",1),"/")</f>
        <v>ukraine</v>
      </c>
      <c r="D676" t="str">
        <f>Tabla1[[#This Row],[PAIS]]</f>
        <v>ukraine</v>
      </c>
      <c r="E676" s="8" t="str">
        <f ca="1">IF(VLOOKUP(Tabla1[[#This Row],[DIVISION]],$H$2:$I$44,2)="X","SI","NO")</f>
        <v>SI</v>
      </c>
    </row>
    <row r="677" spans="1:5" x14ac:dyDescent="0.3">
      <c r="A677" t="str">
        <f>MID(Tabla1[[#This Row],[ENLACE]],FIND("~",SUBSTITUTE(Tabla1[[#This Row],[ENLACE]],"/","~",2))+1,LEN(Tabla1[[#This Row],[ENLACE]]))</f>
        <v>fc-obolon-kyiv</v>
      </c>
      <c r="B677" t="s">
        <v>677</v>
      </c>
      <c r="C677" t="str">
        <f>_xlfn.TEXTBEFORE(_xlfn.TEXTAFTER(Tabla1[[#This Row],[ENLACE]],"/",1),"/")</f>
        <v>ukraine</v>
      </c>
      <c r="D677" t="str">
        <f>Tabla1[[#This Row],[PAIS]]</f>
        <v>ukraine</v>
      </c>
      <c r="E677" s="8" t="str">
        <f ca="1">IF(VLOOKUP(Tabla1[[#This Row],[DIVISION]],$H$2:$I$44,2)="X","SI","NO")</f>
        <v>SI</v>
      </c>
    </row>
    <row r="678" spans="1:5" x14ac:dyDescent="0.3">
      <c r="A678" t="str">
        <f>MID(Tabla1[[#This Row],[ENLACE]],FIND("~",SUBSTITUTE(Tabla1[[#This Row],[ENLACE]],"/","~",2))+1,LEN(Tabla1[[#This Row],[ENLACE]]))</f>
        <v>fc-polissya-zhytomyr</v>
      </c>
      <c r="B678" t="s">
        <v>678</v>
      </c>
      <c r="C678" t="str">
        <f>_xlfn.TEXTBEFORE(_xlfn.TEXTAFTER(Tabla1[[#This Row],[ENLACE]],"/",1),"/")</f>
        <v>ukraine</v>
      </c>
      <c r="D678" t="str">
        <f>Tabla1[[#This Row],[PAIS]]</f>
        <v>ukraine</v>
      </c>
      <c r="E678" s="8" t="str">
        <f ca="1">IF(VLOOKUP(Tabla1[[#This Row],[DIVISION]],$H$2:$I$44,2)="X","SI","NO")</f>
        <v>SI</v>
      </c>
    </row>
    <row r="679" spans="1:5" x14ac:dyDescent="0.3">
      <c r="A679" t="str">
        <f>MID(Tabla1[[#This Row],[ENLACE]],FIND("~",SUBSTITUTE(Tabla1[[#This Row],[ENLACE]],"/","~",2))+1,LEN(Tabla1[[#This Row],[ENLACE]]))</f>
        <v>fc-shakhtar-donetsk</v>
      </c>
      <c r="B679" t="s">
        <v>679</v>
      </c>
      <c r="C679" t="str">
        <f>_xlfn.TEXTBEFORE(_xlfn.TEXTAFTER(Tabla1[[#This Row],[ENLACE]],"/",1),"/")</f>
        <v>ukraine</v>
      </c>
      <c r="D679" t="str">
        <f>Tabla1[[#This Row],[PAIS]]</f>
        <v>ukraine</v>
      </c>
      <c r="E679" s="8" t="str">
        <f ca="1">IF(VLOOKUP(Tabla1[[#This Row],[DIVISION]],$H$2:$I$44,2)="X","SI","NO")</f>
        <v>SI</v>
      </c>
    </row>
    <row r="680" spans="1:5" x14ac:dyDescent="0.3">
      <c r="A680" t="str">
        <f>MID(Tabla1[[#This Row],[ENLACE]],FIND("~",SUBSTITUTE(Tabla1[[#This Row],[ENLACE]],"/","~",2))+1,LEN(Tabla1[[#This Row],[ENLACE]]))</f>
        <v>nk-veres-rivne</v>
      </c>
      <c r="B680" t="s">
        <v>680</v>
      </c>
      <c r="C680" t="str">
        <f>_xlfn.TEXTBEFORE(_xlfn.TEXTAFTER(Tabla1[[#This Row],[ENLACE]],"/",1),"/")</f>
        <v>ukraine</v>
      </c>
      <c r="D680" t="str">
        <f>Tabla1[[#This Row],[PAIS]]</f>
        <v>ukraine</v>
      </c>
      <c r="E680" s="8" t="str">
        <f ca="1">IF(VLOOKUP(Tabla1[[#This Row],[DIVISION]],$H$2:$I$44,2)="X","SI","NO")</f>
        <v>SI</v>
      </c>
    </row>
    <row r="681" spans="1:5" x14ac:dyDescent="0.3">
      <c r="A681" t="str">
        <f>MID(Tabla1[[#This Row],[ENLACE]],FIND("~",SUBSTITUTE(Tabla1[[#This Row],[ENLACE]],"/","~",2))+1,LEN(Tabla1[[#This Row],[ENLACE]]))</f>
        <v>fc-zorya-luhansk</v>
      </c>
      <c r="B681" t="s">
        <v>681</v>
      </c>
      <c r="C681" t="str">
        <f>_xlfn.TEXTBEFORE(_xlfn.TEXTAFTER(Tabla1[[#This Row],[ENLACE]],"/",1),"/")</f>
        <v>ukraine</v>
      </c>
      <c r="D681" t="str">
        <f>Tabla1[[#This Row],[PAIS]]</f>
        <v>ukraine</v>
      </c>
      <c r="E681" s="8" t="str">
        <f ca="1">IF(VLOOKUP(Tabla1[[#This Row],[DIVISION]],$H$2:$I$44,2)="X","SI","NO")</f>
        <v>SI</v>
      </c>
    </row>
    <row r="682" spans="1:5" x14ac:dyDescent="0.3">
      <c r="A682" t="str">
        <f>MID(Tabla1[[#This Row],[ENLACE]],FIND("~",SUBSTITUTE(Tabla1[[#This Row],[ENLACE]],"/","~",2))+1,LEN(Tabla1[[#This Row],[ENLACE]]))</f>
        <v>avispa-fukuoka</v>
      </c>
      <c r="B682" t="s">
        <v>682</v>
      </c>
      <c r="C682" t="str">
        <f>_xlfn.TEXTBEFORE(_xlfn.TEXTAFTER(Tabla1[[#This Row],[ENLACE]],"/",1),"/")</f>
        <v>japan</v>
      </c>
      <c r="D682" t="str">
        <f>Tabla1[[#This Row],[PAIS]]</f>
        <v>japan</v>
      </c>
      <c r="E682" s="8" t="str">
        <f ca="1">IF(VLOOKUP(Tabla1[[#This Row],[DIVISION]],$H$2:$I$44,2)="X","SI","NO")</f>
        <v>SI</v>
      </c>
    </row>
    <row r="683" spans="1:5" x14ac:dyDescent="0.3">
      <c r="A683" t="str">
        <f>MID(Tabla1[[#This Row],[ENLACE]],FIND("~",SUBSTITUTE(Tabla1[[#This Row],[ENLACE]],"/","~",2))+1,LEN(Tabla1[[#This Row],[ENLACE]]))</f>
        <v>cerezo-osaka</v>
      </c>
      <c r="B683" t="s">
        <v>683</v>
      </c>
      <c r="C683" t="str">
        <f>_xlfn.TEXTBEFORE(_xlfn.TEXTAFTER(Tabla1[[#This Row],[ENLACE]],"/",1),"/")</f>
        <v>japan</v>
      </c>
      <c r="D683" t="str">
        <f>Tabla1[[#This Row],[PAIS]]</f>
        <v>japan</v>
      </c>
      <c r="E683" s="8" t="str">
        <f ca="1">IF(VLOOKUP(Tabla1[[#This Row],[DIVISION]],$H$2:$I$44,2)="X","SI","NO")</f>
        <v>SI</v>
      </c>
    </row>
    <row r="684" spans="1:5" x14ac:dyDescent="0.3">
      <c r="A684" t="str">
        <f>MID(Tabla1[[#This Row],[ENLACE]],FIND("~",SUBSTITUTE(Tabla1[[#This Row],[ENLACE]],"/","~",2))+1,LEN(Tabla1[[#This Row],[ENLACE]]))</f>
        <v>fagiano-okayama</v>
      </c>
      <c r="B684" t="s">
        <v>684</v>
      </c>
      <c r="C684" t="str">
        <f>_xlfn.TEXTBEFORE(_xlfn.TEXTAFTER(Tabla1[[#This Row],[ENLACE]],"/",1),"/")</f>
        <v>japan</v>
      </c>
      <c r="D684" t="str">
        <f>Tabla1[[#This Row],[PAIS]]</f>
        <v>japan</v>
      </c>
      <c r="E684" s="8" t="str">
        <f ca="1">IF(VLOOKUP(Tabla1[[#This Row],[DIVISION]],$H$2:$I$44,2)="X","SI","NO")</f>
        <v>SI</v>
      </c>
    </row>
    <row r="685" spans="1:5" x14ac:dyDescent="0.3">
      <c r="A685" t="str">
        <f>MID(Tabla1[[#This Row],[ENLACE]],FIND("~",SUBSTITUTE(Tabla1[[#This Row],[ENLACE]],"/","~",2))+1,LEN(Tabla1[[#This Row],[ENLACE]]))</f>
        <v>gamba-osaka</v>
      </c>
      <c r="B685" t="s">
        <v>685</v>
      </c>
      <c r="C685" t="str">
        <f>_xlfn.TEXTBEFORE(_xlfn.TEXTAFTER(Tabla1[[#This Row],[ENLACE]],"/",1),"/")</f>
        <v>japan</v>
      </c>
      <c r="D685" t="str">
        <f>Tabla1[[#This Row],[PAIS]]</f>
        <v>japan</v>
      </c>
      <c r="E685" s="8" t="str">
        <f ca="1">IF(VLOOKUP(Tabla1[[#This Row],[DIVISION]],$H$2:$I$44,2)="X","SI","NO")</f>
        <v>SI</v>
      </c>
    </row>
    <row r="686" spans="1:5" x14ac:dyDescent="0.3">
      <c r="A686" t="str">
        <f>MID(Tabla1[[#This Row],[ENLACE]],FIND("~",SUBSTITUTE(Tabla1[[#This Row],[ENLACE]],"/","~",2))+1,LEN(Tabla1[[#This Row],[ENLACE]]))</f>
        <v>sanfreece-hiroshima</v>
      </c>
      <c r="B686" t="s">
        <v>686</v>
      </c>
      <c r="C686" t="str">
        <f>_xlfn.TEXTBEFORE(_xlfn.TEXTAFTER(Tabla1[[#This Row],[ENLACE]],"/",1),"/")</f>
        <v>japan</v>
      </c>
      <c r="D686" t="str">
        <f>Tabla1[[#This Row],[PAIS]]</f>
        <v>japan</v>
      </c>
      <c r="E686" s="8" t="str">
        <f ca="1">IF(VLOOKUP(Tabla1[[#This Row],[DIVISION]],$H$2:$I$44,2)="X","SI","NO")</f>
        <v>SI</v>
      </c>
    </row>
    <row r="687" spans="1:5" x14ac:dyDescent="0.3">
      <c r="A687" t="str">
        <f>MID(Tabla1[[#This Row],[ENLACE]],FIND("~",SUBSTITUTE(Tabla1[[#This Row],[ENLACE]],"/","~",2))+1,LEN(Tabla1[[#This Row],[ENLACE]]))</f>
        <v>jef-united-chiba</v>
      </c>
      <c r="B687" t="s">
        <v>687</v>
      </c>
      <c r="C687" t="str">
        <f>_xlfn.TEXTBEFORE(_xlfn.TEXTAFTER(Tabla1[[#This Row],[ENLACE]],"/",1),"/")</f>
        <v>japan</v>
      </c>
      <c r="D687" t="str">
        <f>Tabla1[[#This Row],[PAIS]]</f>
        <v>japan</v>
      </c>
      <c r="E687" s="8" t="str">
        <f ca="1">IF(VLOOKUP(Tabla1[[#This Row],[DIVISION]],$H$2:$I$44,2)="X","SI","NO")</f>
        <v>SI</v>
      </c>
    </row>
    <row r="688" spans="1:5" x14ac:dyDescent="0.3">
      <c r="A688" t="str">
        <f>MID(Tabla1[[#This Row],[ENLACE]],FIND("~",SUBSTITUTE(Tabla1[[#This Row],[ENLACE]],"/","~",2))+1,LEN(Tabla1[[#This Row],[ENLACE]]))</f>
        <v>kashima-antlers</v>
      </c>
      <c r="B688" t="s">
        <v>688</v>
      </c>
      <c r="C688" t="str">
        <f>_xlfn.TEXTBEFORE(_xlfn.TEXTAFTER(Tabla1[[#This Row],[ENLACE]],"/",1),"/")</f>
        <v>japan</v>
      </c>
      <c r="D688" t="str">
        <f>Tabla1[[#This Row],[PAIS]]</f>
        <v>japan</v>
      </c>
      <c r="E688" s="8" t="str">
        <f ca="1">IF(VLOOKUP(Tabla1[[#This Row],[DIVISION]],$H$2:$I$44,2)="X","SI","NO")</f>
        <v>SI</v>
      </c>
    </row>
    <row r="689" spans="1:5" x14ac:dyDescent="0.3">
      <c r="A689" t="str">
        <f>MID(Tabla1[[#This Row],[ENLACE]],FIND("~",SUBSTITUTE(Tabla1[[#This Row],[ENLACE]],"/","~",2))+1,LEN(Tabla1[[#This Row],[ENLACE]]))</f>
        <v>kashiwa-reysol</v>
      </c>
      <c r="B689" t="s">
        <v>689</v>
      </c>
      <c r="C689" t="str">
        <f>_xlfn.TEXTBEFORE(_xlfn.TEXTAFTER(Tabla1[[#This Row],[ENLACE]],"/",1),"/")</f>
        <v>japan</v>
      </c>
      <c r="D689" t="str">
        <f>Tabla1[[#This Row],[PAIS]]</f>
        <v>japan</v>
      </c>
      <c r="E689" s="8" t="str">
        <f ca="1">IF(VLOOKUP(Tabla1[[#This Row],[DIVISION]],$H$2:$I$44,2)="X","SI","NO")</f>
        <v>SI</v>
      </c>
    </row>
    <row r="690" spans="1:5" x14ac:dyDescent="0.3">
      <c r="A690" t="str">
        <f>MID(Tabla1[[#This Row],[ENLACE]],FIND("~",SUBSTITUTE(Tabla1[[#This Row],[ENLACE]],"/","~",2))+1,LEN(Tabla1[[#This Row],[ENLACE]]))</f>
        <v>kawasaki-frontale</v>
      </c>
      <c r="B690" t="s">
        <v>690</v>
      </c>
      <c r="C690" t="str">
        <f>_xlfn.TEXTBEFORE(_xlfn.TEXTAFTER(Tabla1[[#This Row],[ENLACE]],"/",1),"/")</f>
        <v>japan</v>
      </c>
      <c r="D690" t="str">
        <f>Tabla1[[#This Row],[PAIS]]</f>
        <v>japan</v>
      </c>
      <c r="E690" s="8" t="str">
        <f ca="1">IF(VLOOKUP(Tabla1[[#This Row],[DIVISION]],$H$2:$I$44,2)="X","SI","NO")</f>
        <v>SI</v>
      </c>
    </row>
    <row r="691" spans="1:5" x14ac:dyDescent="0.3">
      <c r="A691" t="str">
        <f>MID(Tabla1[[#This Row],[ENLACE]],FIND("~",SUBSTITUTE(Tabla1[[#This Row],[ENLACE]],"/","~",2))+1,LEN(Tabla1[[#This Row],[ENLACE]]))</f>
        <v>vissel-kobe</v>
      </c>
      <c r="B691" t="s">
        <v>691</v>
      </c>
      <c r="C691" t="str">
        <f>_xlfn.TEXTBEFORE(_xlfn.TEXTAFTER(Tabla1[[#This Row],[ENLACE]],"/",1),"/")</f>
        <v>japan</v>
      </c>
      <c r="D691" t="str">
        <f>Tabla1[[#This Row],[PAIS]]</f>
        <v>japan</v>
      </c>
      <c r="E691" s="8" t="str">
        <f ca="1">IF(VLOOKUP(Tabla1[[#This Row],[DIVISION]],$H$2:$I$44,2)="X","SI","NO")</f>
        <v>SI</v>
      </c>
    </row>
    <row r="692" spans="1:5" x14ac:dyDescent="0.3">
      <c r="A692" t="str">
        <f>MID(Tabla1[[#This Row],[ENLACE]],FIND("~",SUBSTITUTE(Tabla1[[#This Row],[ENLACE]],"/","~",2))+1,LEN(Tabla1[[#This Row],[ENLACE]]))</f>
        <v>kyoto-sanga-fc</v>
      </c>
      <c r="B692" t="s">
        <v>692</v>
      </c>
      <c r="C692" t="str">
        <f>_xlfn.TEXTBEFORE(_xlfn.TEXTAFTER(Tabla1[[#This Row],[ENLACE]],"/",1),"/")</f>
        <v>japan</v>
      </c>
      <c r="D692" t="str">
        <f>Tabla1[[#This Row],[PAIS]]</f>
        <v>japan</v>
      </c>
      <c r="E692" s="8" t="str">
        <f ca="1">IF(VLOOKUP(Tabla1[[#This Row],[DIVISION]],$H$2:$I$44,2)="X","SI","NO")</f>
        <v>SI</v>
      </c>
    </row>
    <row r="693" spans="1:5" x14ac:dyDescent="0.3">
      <c r="A693" t="str">
        <f>MID(Tabla1[[#This Row],[ENLACE]],FIND("~",SUBSTITUTE(Tabla1[[#This Row],[ENLACE]],"/","~",2))+1,LEN(Tabla1[[#This Row],[ENLACE]]))</f>
        <v>fc-machida-zelvia</v>
      </c>
      <c r="B693" t="s">
        <v>693</v>
      </c>
      <c r="C693" t="str">
        <f>_xlfn.TEXTBEFORE(_xlfn.TEXTAFTER(Tabla1[[#This Row],[ENLACE]],"/",1),"/")</f>
        <v>japan</v>
      </c>
      <c r="D693" t="str">
        <f>Tabla1[[#This Row],[PAIS]]</f>
        <v>japan</v>
      </c>
      <c r="E693" s="8" t="str">
        <f ca="1">IF(VLOOKUP(Tabla1[[#This Row],[DIVISION]],$H$2:$I$44,2)="X","SI","NO")</f>
        <v>SI</v>
      </c>
    </row>
    <row r="694" spans="1:5" x14ac:dyDescent="0.3">
      <c r="A694" t="str">
        <f>MID(Tabla1[[#This Row],[ENLACE]],FIND("~",SUBSTITUTE(Tabla1[[#This Row],[ENLACE]],"/","~",2))+1,LEN(Tabla1[[#This Row],[ENLACE]]))</f>
        <v>mito-hollyhock</v>
      </c>
      <c r="B694" t="s">
        <v>694</v>
      </c>
      <c r="C694" t="str">
        <f>_xlfn.TEXTBEFORE(_xlfn.TEXTAFTER(Tabla1[[#This Row],[ENLACE]],"/",1),"/")</f>
        <v>japan</v>
      </c>
      <c r="D694" t="str">
        <f>Tabla1[[#This Row],[PAIS]]</f>
        <v>japan</v>
      </c>
      <c r="E694" s="8" t="str">
        <f ca="1">IF(VLOOKUP(Tabla1[[#This Row],[DIVISION]],$H$2:$I$44,2)="X","SI","NO")</f>
        <v>SI</v>
      </c>
    </row>
    <row r="695" spans="1:5" x14ac:dyDescent="0.3">
      <c r="A695" t="str">
        <f>MID(Tabla1[[#This Row],[ENLACE]],FIND("~",SUBSTITUTE(Tabla1[[#This Row],[ENLACE]],"/","~",2))+1,LEN(Tabla1[[#This Row],[ENLACE]]))</f>
        <v>nagoya-grampus</v>
      </c>
      <c r="B695" t="s">
        <v>695</v>
      </c>
      <c r="C695" t="str">
        <f>_xlfn.TEXTBEFORE(_xlfn.TEXTAFTER(Tabla1[[#This Row],[ENLACE]],"/",1),"/")</f>
        <v>japan</v>
      </c>
      <c r="D695" t="str">
        <f>Tabla1[[#This Row],[PAIS]]</f>
        <v>japan</v>
      </c>
      <c r="E695" s="8" t="str">
        <f ca="1">IF(VLOOKUP(Tabla1[[#This Row],[DIVISION]],$H$2:$I$44,2)="X","SI","NO")</f>
        <v>SI</v>
      </c>
    </row>
    <row r="696" spans="1:5" x14ac:dyDescent="0.3">
      <c r="A696" t="str">
        <f>MID(Tabla1[[#This Row],[ENLACE]],FIND("~",SUBSTITUTE(Tabla1[[#This Row],[ENLACE]],"/","~",2))+1,LEN(Tabla1[[#This Row],[ENLACE]]))</f>
        <v>shimizu-s-pulse</v>
      </c>
      <c r="B696" t="s">
        <v>696</v>
      </c>
      <c r="C696" t="str">
        <f>_xlfn.TEXTBEFORE(_xlfn.TEXTAFTER(Tabla1[[#This Row],[ENLACE]],"/",1),"/")</f>
        <v>japan</v>
      </c>
      <c r="D696" t="str">
        <f>Tabla1[[#This Row],[PAIS]]</f>
        <v>japan</v>
      </c>
      <c r="E696" s="8" t="str">
        <f ca="1">IF(VLOOKUP(Tabla1[[#This Row],[DIVISION]],$H$2:$I$44,2)="X","SI","NO")</f>
        <v>SI</v>
      </c>
    </row>
    <row r="697" spans="1:5" x14ac:dyDescent="0.3">
      <c r="A697" t="str">
        <f>MID(Tabla1[[#This Row],[ENLACE]],FIND("~",SUBSTITUTE(Tabla1[[#This Row],[ENLACE]],"/","~",2))+1,LEN(Tabla1[[#This Row],[ENLACE]]))</f>
        <v>fc-tokyo</v>
      </c>
      <c r="B697" t="s">
        <v>697</v>
      </c>
      <c r="C697" t="str">
        <f>_xlfn.TEXTBEFORE(_xlfn.TEXTAFTER(Tabla1[[#This Row],[ENLACE]],"/",1),"/")</f>
        <v>japan</v>
      </c>
      <c r="D697" t="str">
        <f>Tabla1[[#This Row],[PAIS]]</f>
        <v>japan</v>
      </c>
      <c r="E697" s="8" t="str">
        <f ca="1">IF(VLOOKUP(Tabla1[[#This Row],[DIVISION]],$H$2:$I$44,2)="X","SI","NO")</f>
        <v>SI</v>
      </c>
    </row>
    <row r="698" spans="1:5" x14ac:dyDescent="0.3">
      <c r="A698" t="str">
        <f>MID(Tabla1[[#This Row],[ENLACE]],FIND("~",SUBSTITUTE(Tabla1[[#This Row],[ENLACE]],"/","~",2))+1,LEN(Tabla1[[#This Row],[ENLACE]]))</f>
        <v>tokyo-verdy</v>
      </c>
      <c r="B698" t="s">
        <v>698</v>
      </c>
      <c r="C698" t="str">
        <f>_xlfn.TEXTBEFORE(_xlfn.TEXTAFTER(Tabla1[[#This Row],[ENLACE]],"/",1),"/")</f>
        <v>japan</v>
      </c>
      <c r="D698" t="str">
        <f>Tabla1[[#This Row],[PAIS]]</f>
        <v>japan</v>
      </c>
      <c r="E698" s="8" t="str">
        <f ca="1">IF(VLOOKUP(Tabla1[[#This Row],[DIVISION]],$H$2:$I$44,2)="X","SI","NO")</f>
        <v>SI</v>
      </c>
    </row>
    <row r="699" spans="1:5" x14ac:dyDescent="0.3">
      <c r="A699" t="str">
        <f>MID(Tabla1[[#This Row],[ENLACE]],FIND("~",SUBSTITUTE(Tabla1[[#This Row],[ENLACE]],"/","~",2))+1,LEN(Tabla1[[#This Row],[ENLACE]]))</f>
        <v>urawa-red-diamonds</v>
      </c>
      <c r="B699" t="s">
        <v>699</v>
      </c>
      <c r="C699" t="str">
        <f>_xlfn.TEXTBEFORE(_xlfn.TEXTAFTER(Tabla1[[#This Row],[ENLACE]],"/",1),"/")</f>
        <v>japan</v>
      </c>
      <c r="D699" t="str">
        <f>Tabla1[[#This Row],[PAIS]]</f>
        <v>japan</v>
      </c>
      <c r="E699" s="8" t="str">
        <f ca="1">IF(VLOOKUP(Tabla1[[#This Row],[DIVISION]],$H$2:$I$44,2)="X","SI","NO")</f>
        <v>SI</v>
      </c>
    </row>
    <row r="700" spans="1:5" x14ac:dyDescent="0.3">
      <c r="A700" t="str">
        <f>MID(Tabla1[[#This Row],[ENLACE]],FIND("~",SUBSTITUTE(Tabla1[[#This Row],[ENLACE]],"/","~",2))+1,LEN(Tabla1[[#This Row],[ENLACE]]))</f>
        <v>v-varen-nagasaki</v>
      </c>
      <c r="B700" t="s">
        <v>700</v>
      </c>
      <c r="C700" t="str">
        <f>_xlfn.TEXTBEFORE(_xlfn.TEXTAFTER(Tabla1[[#This Row],[ENLACE]],"/",1),"/")</f>
        <v>japan</v>
      </c>
      <c r="D700" t="str">
        <f>Tabla1[[#This Row],[PAIS]]</f>
        <v>japan</v>
      </c>
      <c r="E700" s="8" t="str">
        <f ca="1">IF(VLOOKUP(Tabla1[[#This Row],[DIVISION]],$H$2:$I$44,2)="X","SI","NO")</f>
        <v>SI</v>
      </c>
    </row>
    <row r="701" spans="1:5" x14ac:dyDescent="0.3">
      <c r="A701" t="str">
        <f>MID(Tabla1[[#This Row],[ENLACE]],FIND("~",SUBSTITUTE(Tabla1[[#This Row],[ENLACE]],"/","~",2))+1,LEN(Tabla1[[#This Row],[ENLACE]]))</f>
        <v>yokohama-f-marinos</v>
      </c>
      <c r="B701" t="s">
        <v>701</v>
      </c>
      <c r="C701" t="str">
        <f>_xlfn.TEXTBEFORE(_xlfn.TEXTAFTER(Tabla1[[#This Row],[ENLACE]],"/",1),"/")</f>
        <v>japan</v>
      </c>
      <c r="D701" t="str">
        <f>Tabla1[[#This Row],[PAIS]]</f>
        <v>japan</v>
      </c>
      <c r="E701" s="8" t="str">
        <f ca="1">IF(VLOOKUP(Tabla1[[#This Row],[DIVISION]],$H$2:$I$44,2)="X","SI","NO")</f>
        <v>SI</v>
      </c>
    </row>
    <row r="702" spans="1:5" x14ac:dyDescent="0.3">
      <c r="A702" t="str">
        <f>MID(Tabla1[[#This Row],[ENLACE]],FIND("~",SUBSTITUTE(Tabla1[[#This Row],[ENLACE]],"/","~",2))+1,LEN(Tabla1[[#This Row],[ENLACE]]))</f>
        <v>fc-anyang</v>
      </c>
      <c r="B702" t="s">
        <v>702</v>
      </c>
      <c r="C702" t="str">
        <f>_xlfn.TEXTBEFORE(_xlfn.TEXTAFTER(Tabla1[[#This Row],[ENLACE]],"/",1),"/")</f>
        <v>south-korea</v>
      </c>
      <c r="D702" t="str">
        <f>Tabla1[[#This Row],[PAIS]]</f>
        <v>south-korea</v>
      </c>
      <c r="E702" s="8" t="str">
        <f ca="1">IF(VLOOKUP(Tabla1[[#This Row],[DIVISION]],$H$2:$I$44,2)="X","SI","NO")</f>
        <v>SI</v>
      </c>
    </row>
    <row r="703" spans="1:5" x14ac:dyDescent="0.3">
      <c r="A703" t="str">
        <f>MID(Tabla1[[#This Row],[ENLACE]],FIND("~",SUBSTITUTE(Tabla1[[#This Row],[ENLACE]],"/","~",2))+1,LEN(Tabla1[[#This Row],[ENLACE]]))</f>
        <v>bucheon-fc-1995</v>
      </c>
      <c r="B703" t="s">
        <v>703</v>
      </c>
      <c r="C703" t="str">
        <f>_xlfn.TEXTBEFORE(_xlfn.TEXTAFTER(Tabla1[[#This Row],[ENLACE]],"/",1),"/")</f>
        <v>south-korea</v>
      </c>
      <c r="D703" t="str">
        <f>Tabla1[[#This Row],[PAIS]]</f>
        <v>south-korea</v>
      </c>
      <c r="E703" s="8" t="str">
        <f ca="1">IF(VLOOKUP(Tabla1[[#This Row],[DIVISION]],$H$2:$I$44,2)="X","SI","NO")</f>
        <v>SI</v>
      </c>
    </row>
    <row r="704" spans="1:5" x14ac:dyDescent="0.3">
      <c r="A704" t="str">
        <f>MID(Tabla1[[#This Row],[ENLACE]],FIND("~",SUBSTITUTE(Tabla1[[#This Row],[ENLACE]],"/","~",2))+1,LEN(Tabla1[[#This Row],[ENLACE]]))</f>
        <v>daejeon-hana-citizen</v>
      </c>
      <c r="B704" t="s">
        <v>704</v>
      </c>
      <c r="C704" t="str">
        <f>_xlfn.TEXTBEFORE(_xlfn.TEXTAFTER(Tabla1[[#This Row],[ENLACE]],"/",1),"/")</f>
        <v>south-korea</v>
      </c>
      <c r="D704" t="str">
        <f>Tabla1[[#This Row],[PAIS]]</f>
        <v>south-korea</v>
      </c>
      <c r="E704" s="8" t="str">
        <f ca="1">IF(VLOOKUP(Tabla1[[#This Row],[DIVISION]],$H$2:$I$44,2)="X","SI","NO")</f>
        <v>SI</v>
      </c>
    </row>
    <row r="705" spans="1:5" x14ac:dyDescent="0.3">
      <c r="A705" t="str">
        <f>MID(Tabla1[[#This Row],[ENLACE]],FIND("~",SUBSTITUTE(Tabla1[[#This Row],[ENLACE]],"/","~",2))+1,LEN(Tabla1[[#This Row],[ENLACE]]))</f>
        <v>gangwon-fc</v>
      </c>
      <c r="B705" t="s">
        <v>705</v>
      </c>
      <c r="C705" t="str">
        <f>_xlfn.TEXTBEFORE(_xlfn.TEXTAFTER(Tabla1[[#This Row],[ENLACE]],"/",1),"/")</f>
        <v>south-korea</v>
      </c>
      <c r="D705" t="str">
        <f>Tabla1[[#This Row],[PAIS]]</f>
        <v>south-korea</v>
      </c>
      <c r="E705" s="8" t="str">
        <f ca="1">IF(VLOOKUP(Tabla1[[#This Row],[DIVISION]],$H$2:$I$44,2)="X","SI","NO")</f>
        <v>SI</v>
      </c>
    </row>
    <row r="706" spans="1:5" x14ac:dyDescent="0.3">
      <c r="A706" t="str">
        <f>MID(Tabla1[[#This Row],[ENLACE]],FIND("~",SUBSTITUTE(Tabla1[[#This Row],[ENLACE]],"/","~",2))+1,LEN(Tabla1[[#This Row],[ENLACE]]))</f>
        <v>gimcheon-sangmu-fc</v>
      </c>
      <c r="B706" t="s">
        <v>706</v>
      </c>
      <c r="C706" t="str">
        <f>_xlfn.TEXTBEFORE(_xlfn.TEXTAFTER(Tabla1[[#This Row],[ENLACE]],"/",1),"/")</f>
        <v>south-korea</v>
      </c>
      <c r="D706" t="str">
        <f>Tabla1[[#This Row],[PAIS]]</f>
        <v>south-korea</v>
      </c>
      <c r="E706" s="8" t="str">
        <f ca="1">IF(VLOOKUP(Tabla1[[#This Row],[DIVISION]],$H$2:$I$44,2)="X","SI","NO")</f>
        <v>SI</v>
      </c>
    </row>
    <row r="707" spans="1:5" x14ac:dyDescent="0.3">
      <c r="A707" t="str">
        <f>MID(Tabla1[[#This Row],[ENLACE]],FIND("~",SUBSTITUTE(Tabla1[[#This Row],[ENLACE]],"/","~",2))+1,LEN(Tabla1[[#This Row],[ENLACE]]))</f>
        <v>gwangju-fc</v>
      </c>
      <c r="B707" t="s">
        <v>707</v>
      </c>
      <c r="C707" t="str">
        <f>_xlfn.TEXTBEFORE(_xlfn.TEXTAFTER(Tabla1[[#This Row],[ENLACE]],"/",1),"/")</f>
        <v>south-korea</v>
      </c>
      <c r="D707" t="str">
        <f>Tabla1[[#This Row],[PAIS]]</f>
        <v>south-korea</v>
      </c>
      <c r="E707" s="8" t="str">
        <f ca="1">IF(VLOOKUP(Tabla1[[#This Row],[DIVISION]],$H$2:$I$44,2)="X","SI","NO")</f>
        <v>SI</v>
      </c>
    </row>
    <row r="708" spans="1:5" x14ac:dyDescent="0.3">
      <c r="A708" t="str">
        <f>MID(Tabla1[[#This Row],[ENLACE]],FIND("~",SUBSTITUTE(Tabla1[[#This Row],[ENLACE]],"/","~",2))+1,LEN(Tabla1[[#This Row],[ENLACE]]))</f>
        <v>incheon-united</v>
      </c>
      <c r="B708" t="s">
        <v>708</v>
      </c>
      <c r="C708" t="str">
        <f>_xlfn.TEXTBEFORE(_xlfn.TEXTAFTER(Tabla1[[#This Row],[ENLACE]],"/",1),"/")</f>
        <v>south-korea</v>
      </c>
      <c r="D708" t="str">
        <f>Tabla1[[#This Row],[PAIS]]</f>
        <v>south-korea</v>
      </c>
      <c r="E708" s="8" t="str">
        <f ca="1">IF(VLOOKUP(Tabla1[[#This Row],[DIVISION]],$H$2:$I$44,2)="X","SI","NO")</f>
        <v>SI</v>
      </c>
    </row>
    <row r="709" spans="1:5" x14ac:dyDescent="0.3">
      <c r="A709" t="str">
        <f>MID(Tabla1[[#This Row],[ENLACE]],FIND("~",SUBSTITUTE(Tabla1[[#This Row],[ENLACE]],"/","~",2))+1,LEN(Tabla1[[#This Row],[ENLACE]]))</f>
        <v>jeju-sk-fc</v>
      </c>
      <c r="B709" t="s">
        <v>709</v>
      </c>
      <c r="C709" t="str">
        <f>_xlfn.TEXTBEFORE(_xlfn.TEXTAFTER(Tabla1[[#This Row],[ENLACE]],"/",1),"/")</f>
        <v>south-korea</v>
      </c>
      <c r="D709" t="str">
        <f>Tabla1[[#This Row],[PAIS]]</f>
        <v>south-korea</v>
      </c>
      <c r="E709" s="8" t="str">
        <f ca="1">IF(VLOOKUP(Tabla1[[#This Row],[DIVISION]],$H$2:$I$44,2)="X","SI","NO")</f>
        <v>SI</v>
      </c>
    </row>
    <row r="710" spans="1:5" x14ac:dyDescent="0.3">
      <c r="A710" t="str">
        <f>MID(Tabla1[[#This Row],[ENLACE]],FIND("~",SUBSTITUTE(Tabla1[[#This Row],[ENLACE]],"/","~",2))+1,LEN(Tabla1[[#This Row],[ENLACE]]))</f>
        <v>jeonbuk-hyundai-motors</v>
      </c>
      <c r="B710" t="s">
        <v>710</v>
      </c>
      <c r="C710" t="str">
        <f>_xlfn.TEXTBEFORE(_xlfn.TEXTAFTER(Tabla1[[#This Row],[ENLACE]],"/",1),"/")</f>
        <v>south-korea</v>
      </c>
      <c r="D710" t="str">
        <f>Tabla1[[#This Row],[PAIS]]</f>
        <v>south-korea</v>
      </c>
      <c r="E710" s="8" t="str">
        <f ca="1">IF(VLOOKUP(Tabla1[[#This Row],[DIVISION]],$H$2:$I$44,2)="X","SI","NO")</f>
        <v>SI</v>
      </c>
    </row>
    <row r="711" spans="1:5" x14ac:dyDescent="0.3">
      <c r="A711" t="str">
        <f>MID(Tabla1[[#This Row],[ENLACE]],FIND("~",SUBSTITUTE(Tabla1[[#This Row],[ENLACE]],"/","~",2))+1,LEN(Tabla1[[#This Row],[ENLACE]]))</f>
        <v>pohang-steelers</v>
      </c>
      <c r="B711" t="s">
        <v>711</v>
      </c>
      <c r="C711" t="str">
        <f>_xlfn.TEXTBEFORE(_xlfn.TEXTAFTER(Tabla1[[#This Row],[ENLACE]],"/",1),"/")</f>
        <v>south-korea</v>
      </c>
      <c r="D711" t="str">
        <f>Tabla1[[#This Row],[PAIS]]</f>
        <v>south-korea</v>
      </c>
      <c r="E711" s="8" t="str">
        <f ca="1">IF(VLOOKUP(Tabla1[[#This Row],[DIVISION]],$H$2:$I$44,2)="X","SI","NO")</f>
        <v>SI</v>
      </c>
    </row>
    <row r="712" spans="1:5" x14ac:dyDescent="0.3">
      <c r="A712" t="str">
        <f>MID(Tabla1[[#This Row],[ENLACE]],FIND("~",SUBSTITUTE(Tabla1[[#This Row],[ENLACE]],"/","~",2))+1,LEN(Tabla1[[#This Row],[ENLACE]]))</f>
        <v>fc-seoul</v>
      </c>
      <c r="B712" t="s">
        <v>712</v>
      </c>
      <c r="C712" t="str">
        <f>_xlfn.TEXTBEFORE(_xlfn.TEXTAFTER(Tabla1[[#This Row],[ENLACE]],"/",1),"/")</f>
        <v>south-korea</v>
      </c>
      <c r="D712" t="str">
        <f>Tabla1[[#This Row],[PAIS]]</f>
        <v>south-korea</v>
      </c>
      <c r="E712" s="8" t="str">
        <f ca="1">IF(VLOOKUP(Tabla1[[#This Row],[DIVISION]],$H$2:$I$44,2)="X","SI","NO")</f>
        <v>SI</v>
      </c>
    </row>
    <row r="713" spans="1:5" x14ac:dyDescent="0.3">
      <c r="A713" t="str">
        <f>MID(Tabla1[[#This Row],[ENLACE]],FIND("~",SUBSTITUTE(Tabla1[[#This Row],[ENLACE]],"/","~",2))+1,LEN(Tabla1[[#This Row],[ENLACE]]))</f>
        <v>ulsan-hd-fc</v>
      </c>
      <c r="B713" t="s">
        <v>713</v>
      </c>
      <c r="C713" t="str">
        <f>_xlfn.TEXTBEFORE(_xlfn.TEXTAFTER(Tabla1[[#This Row],[ENLACE]],"/",1),"/")</f>
        <v>south-korea</v>
      </c>
      <c r="D713" t="str">
        <f>Tabla1[[#This Row],[PAIS]]</f>
        <v>south-korea</v>
      </c>
      <c r="E713" s="8" t="str">
        <f ca="1">IF(VLOOKUP(Tabla1[[#This Row],[DIVISION]],$H$2:$I$44,2)="X","SI","NO")</f>
        <v>SI</v>
      </c>
    </row>
    <row r="714" spans="1:5" x14ac:dyDescent="0.3">
      <c r="A714" t="str">
        <f>MID(Tabla1[[#This Row],[ENLACE]],FIND("~",SUBSTITUTE(Tabla1[[#This Row],[ENLACE]],"/","~",2))+1,LEN(Tabla1[[#This Row],[ENLACE]]))</f>
        <v>beijing-guoan-fc</v>
      </c>
      <c r="B714" t="s">
        <v>714</v>
      </c>
      <c r="C714" t="str">
        <f>_xlfn.TEXTBEFORE(_xlfn.TEXTAFTER(Tabla1[[#This Row],[ENLACE]],"/",1),"/")</f>
        <v>china</v>
      </c>
      <c r="D714" t="str">
        <f>Tabla1[[#This Row],[PAIS]]</f>
        <v>china</v>
      </c>
      <c r="E714" s="8" t="str">
        <f ca="1">IF(VLOOKUP(Tabla1[[#This Row],[DIVISION]],$H$2:$I$44,2)="X","SI","NO")</f>
        <v>SI</v>
      </c>
    </row>
    <row r="715" spans="1:5" x14ac:dyDescent="0.3">
      <c r="A715" t="str">
        <f>MID(Tabla1[[#This Row],[ENLACE]],FIND("~",SUBSTITUTE(Tabla1[[#This Row],[ENLACE]],"/","~",2))+1,LEN(Tabla1[[#This Row],[ENLACE]]))</f>
        <v>chengdu-rongcheng-fc</v>
      </c>
      <c r="B715" t="s">
        <v>715</v>
      </c>
      <c r="C715" t="str">
        <f>_xlfn.TEXTBEFORE(_xlfn.TEXTAFTER(Tabla1[[#This Row],[ENLACE]],"/",1),"/")</f>
        <v>china</v>
      </c>
      <c r="D715" t="str">
        <f>Tabla1[[#This Row],[PAIS]]</f>
        <v>china</v>
      </c>
      <c r="E715" s="8" t="str">
        <f ca="1">IF(VLOOKUP(Tabla1[[#This Row],[DIVISION]],$H$2:$I$44,2)="X","SI","NO")</f>
        <v>SI</v>
      </c>
    </row>
    <row r="716" spans="1:5" x14ac:dyDescent="0.3">
      <c r="A716" t="str">
        <f>MID(Tabla1[[#This Row],[ENLACE]],FIND("~",SUBSTITUTE(Tabla1[[#This Row],[ENLACE]],"/","~",2))+1,LEN(Tabla1[[#This Row],[ENLACE]]))</f>
        <v>chongqing-tonglianglong-fc</v>
      </c>
      <c r="B716" t="s">
        <v>716</v>
      </c>
      <c r="C716" t="str">
        <f>_xlfn.TEXTBEFORE(_xlfn.TEXTAFTER(Tabla1[[#This Row],[ENLACE]],"/",1),"/")</f>
        <v>china</v>
      </c>
      <c r="D716" t="str">
        <f>Tabla1[[#This Row],[PAIS]]</f>
        <v>china</v>
      </c>
      <c r="E716" s="8" t="str">
        <f ca="1">IF(VLOOKUP(Tabla1[[#This Row],[DIVISION]],$H$2:$I$44,2)="X","SI","NO")</f>
        <v>SI</v>
      </c>
    </row>
    <row r="717" spans="1:5" x14ac:dyDescent="0.3">
      <c r="A717" t="str">
        <f>MID(Tabla1[[#This Row],[ENLACE]],FIND("~",SUBSTITUTE(Tabla1[[#This Row],[ENLACE]],"/","~",2))+1,LEN(Tabla1[[#This Row],[ENLACE]]))</f>
        <v>dalian-yingbo-fc</v>
      </c>
      <c r="B717" t="s">
        <v>717</v>
      </c>
      <c r="C717" t="str">
        <f>_xlfn.TEXTBEFORE(_xlfn.TEXTAFTER(Tabla1[[#This Row],[ENLACE]],"/",1),"/")</f>
        <v>china</v>
      </c>
      <c r="D717" t="str">
        <f>Tabla1[[#This Row],[PAIS]]</f>
        <v>china</v>
      </c>
      <c r="E717" s="8" t="str">
        <f ca="1">IF(VLOOKUP(Tabla1[[#This Row],[DIVISION]],$H$2:$I$44,2)="X","SI","NO")</f>
        <v>SI</v>
      </c>
    </row>
    <row r="718" spans="1:5" x14ac:dyDescent="0.3">
      <c r="A718" t="str">
        <f>MID(Tabla1[[#This Row],[ENLACE]],FIND("~",SUBSTITUTE(Tabla1[[#This Row],[ENLACE]],"/","~",2))+1,LEN(Tabla1[[#This Row],[ENLACE]]))</f>
        <v>henan-fc</v>
      </c>
      <c r="B718" t="s">
        <v>718</v>
      </c>
      <c r="C718" t="str">
        <f>_xlfn.TEXTBEFORE(_xlfn.TEXTAFTER(Tabla1[[#This Row],[ENLACE]],"/",1),"/")</f>
        <v>china</v>
      </c>
      <c r="D718" t="str">
        <f>Tabla1[[#This Row],[PAIS]]</f>
        <v>china</v>
      </c>
      <c r="E718" s="8" t="str">
        <f ca="1">IF(VLOOKUP(Tabla1[[#This Row],[DIVISION]],$H$2:$I$44,2)="X","SI","NO")</f>
        <v>SI</v>
      </c>
    </row>
    <row r="719" spans="1:5" x14ac:dyDescent="0.3">
      <c r="A719" t="str">
        <f>MID(Tabla1[[#This Row],[ENLACE]],FIND("~",SUBSTITUTE(Tabla1[[#This Row],[ENLACE]],"/","~",2))+1,LEN(Tabla1[[#This Row],[ENLACE]]))</f>
        <v>liaoning-tieren-fc</v>
      </c>
      <c r="B719" t="s">
        <v>719</v>
      </c>
      <c r="C719" t="str">
        <f>_xlfn.TEXTBEFORE(_xlfn.TEXTAFTER(Tabla1[[#This Row],[ENLACE]],"/",1),"/")</f>
        <v>china</v>
      </c>
      <c r="D719" t="str">
        <f>Tabla1[[#This Row],[PAIS]]</f>
        <v>china</v>
      </c>
      <c r="E719" s="8" t="str">
        <f ca="1">IF(VLOOKUP(Tabla1[[#This Row],[DIVISION]],$H$2:$I$44,2)="X","SI","NO")</f>
        <v>SI</v>
      </c>
    </row>
    <row r="720" spans="1:5" x14ac:dyDescent="0.3">
      <c r="A720" t="str">
        <f>MID(Tabla1[[#This Row],[ENLACE]],FIND("~",SUBSTITUTE(Tabla1[[#This Row],[ENLACE]],"/","~",2))+1,LEN(Tabla1[[#This Row],[ENLACE]]))</f>
        <v>qingdao-hainiu-fc</v>
      </c>
      <c r="B720" t="s">
        <v>720</v>
      </c>
      <c r="C720" t="str">
        <f>_xlfn.TEXTBEFORE(_xlfn.TEXTAFTER(Tabla1[[#This Row],[ENLACE]],"/",1),"/")</f>
        <v>china</v>
      </c>
      <c r="D720" t="str">
        <f>Tabla1[[#This Row],[PAIS]]</f>
        <v>china</v>
      </c>
      <c r="E720" s="8" t="str">
        <f ca="1">IF(VLOOKUP(Tabla1[[#This Row],[DIVISION]],$H$2:$I$44,2)="X","SI","NO")</f>
        <v>SI</v>
      </c>
    </row>
    <row r="721" spans="1:5" x14ac:dyDescent="0.3">
      <c r="A721" t="str">
        <f>MID(Tabla1[[#This Row],[ENLACE]],FIND("~",SUBSTITUTE(Tabla1[[#This Row],[ENLACE]],"/","~",2))+1,LEN(Tabla1[[#This Row],[ENLACE]]))</f>
        <v>qingdao-west-coast-fc</v>
      </c>
      <c r="B721" t="s">
        <v>721</v>
      </c>
      <c r="C721" t="str">
        <f>_xlfn.TEXTBEFORE(_xlfn.TEXTAFTER(Tabla1[[#This Row],[ENLACE]],"/",1),"/")</f>
        <v>china</v>
      </c>
      <c r="D721" t="str">
        <f>Tabla1[[#This Row],[PAIS]]</f>
        <v>china</v>
      </c>
      <c r="E721" s="8" t="str">
        <f ca="1">IF(VLOOKUP(Tabla1[[#This Row],[DIVISION]],$H$2:$I$44,2)="X","SI","NO")</f>
        <v>SI</v>
      </c>
    </row>
    <row r="722" spans="1:5" x14ac:dyDescent="0.3">
      <c r="A722" t="str">
        <f>MID(Tabla1[[#This Row],[ENLACE]],FIND("~",SUBSTITUTE(Tabla1[[#This Row],[ENLACE]],"/","~",2))+1,LEN(Tabla1[[#This Row],[ENLACE]]))</f>
        <v>shandong-taishan-fc</v>
      </c>
      <c r="B722" t="s">
        <v>722</v>
      </c>
      <c r="C722" t="str">
        <f>_xlfn.TEXTBEFORE(_xlfn.TEXTAFTER(Tabla1[[#This Row],[ENLACE]],"/",1),"/")</f>
        <v>china</v>
      </c>
      <c r="D722" t="str">
        <f>Tabla1[[#This Row],[PAIS]]</f>
        <v>china</v>
      </c>
      <c r="E722" s="8" t="str">
        <f ca="1">IF(VLOOKUP(Tabla1[[#This Row],[DIVISION]],$H$2:$I$44,2)="X","SI","NO")</f>
        <v>SI</v>
      </c>
    </row>
    <row r="723" spans="1:5" x14ac:dyDescent="0.3">
      <c r="A723" t="str">
        <f>MID(Tabla1[[#This Row],[ENLACE]],FIND("~",SUBSTITUTE(Tabla1[[#This Row],[ENLACE]],"/","~",2))+1,LEN(Tabla1[[#This Row],[ENLACE]]))</f>
        <v>shanghai-port-fc</v>
      </c>
      <c r="B723" t="s">
        <v>723</v>
      </c>
      <c r="C723" t="str">
        <f>_xlfn.TEXTBEFORE(_xlfn.TEXTAFTER(Tabla1[[#This Row],[ENLACE]],"/",1),"/")</f>
        <v>china</v>
      </c>
      <c r="D723" t="str">
        <f>Tabla1[[#This Row],[PAIS]]</f>
        <v>china</v>
      </c>
      <c r="E723" s="8" t="str">
        <f ca="1">IF(VLOOKUP(Tabla1[[#This Row],[DIVISION]],$H$2:$I$44,2)="X","SI","NO")</f>
        <v>SI</v>
      </c>
    </row>
    <row r="724" spans="1:5" x14ac:dyDescent="0.3">
      <c r="A724" t="str">
        <f>MID(Tabla1[[#This Row],[ENLACE]],FIND("~",SUBSTITUTE(Tabla1[[#This Row],[ENLACE]],"/","~",2))+1,LEN(Tabla1[[#This Row],[ENLACE]]))</f>
        <v>shanghai-shenhua-fc</v>
      </c>
      <c r="B724" t="s">
        <v>724</v>
      </c>
      <c r="C724" t="str">
        <f>_xlfn.TEXTBEFORE(_xlfn.TEXTAFTER(Tabla1[[#This Row],[ENLACE]],"/",1),"/")</f>
        <v>china</v>
      </c>
      <c r="D724" t="str">
        <f>Tabla1[[#This Row],[PAIS]]</f>
        <v>china</v>
      </c>
      <c r="E724" s="8" t="str">
        <f ca="1">IF(VLOOKUP(Tabla1[[#This Row],[DIVISION]],$H$2:$I$44,2)="X","SI","NO")</f>
        <v>SI</v>
      </c>
    </row>
    <row r="725" spans="1:5" x14ac:dyDescent="0.3">
      <c r="A725" t="str">
        <f>MID(Tabla1[[#This Row],[ENLACE]],FIND("~",SUBSTITUTE(Tabla1[[#This Row],[ENLACE]],"/","~",2))+1,LEN(Tabla1[[#This Row],[ENLACE]]))</f>
        <v>shenzhen-peng-city-fc</v>
      </c>
      <c r="B725" t="s">
        <v>725</v>
      </c>
      <c r="C725" t="str">
        <f>_xlfn.TEXTBEFORE(_xlfn.TEXTAFTER(Tabla1[[#This Row],[ENLACE]],"/",1),"/")</f>
        <v>china</v>
      </c>
      <c r="D725" t="str">
        <f>Tabla1[[#This Row],[PAIS]]</f>
        <v>china</v>
      </c>
      <c r="E725" s="8" t="str">
        <f ca="1">IF(VLOOKUP(Tabla1[[#This Row],[DIVISION]],$H$2:$I$44,2)="X","SI","NO")</f>
        <v>SI</v>
      </c>
    </row>
    <row r="726" spans="1:5" x14ac:dyDescent="0.3">
      <c r="A726" t="str">
        <f>MID(Tabla1[[#This Row],[ENLACE]],FIND("~",SUBSTITUTE(Tabla1[[#This Row],[ENLACE]],"/","~",2))+1,LEN(Tabla1[[#This Row],[ENLACE]]))</f>
        <v>tianjin-jinmen-tiger-fc</v>
      </c>
      <c r="B726" t="s">
        <v>726</v>
      </c>
      <c r="C726" t="str">
        <f>_xlfn.TEXTBEFORE(_xlfn.TEXTAFTER(Tabla1[[#This Row],[ENLACE]],"/",1),"/")</f>
        <v>china</v>
      </c>
      <c r="D726" t="str">
        <f>Tabla1[[#This Row],[PAIS]]</f>
        <v>china</v>
      </c>
      <c r="E726" s="8" t="str">
        <f ca="1">IF(VLOOKUP(Tabla1[[#This Row],[DIVISION]],$H$2:$I$44,2)="X","SI","NO")</f>
        <v>SI</v>
      </c>
    </row>
    <row r="727" spans="1:5" x14ac:dyDescent="0.3">
      <c r="A727" t="str">
        <f>MID(Tabla1[[#This Row],[ENLACE]],FIND("~",SUBSTITUTE(Tabla1[[#This Row],[ENLACE]],"/","~",2))+1,LEN(Tabla1[[#This Row],[ENLACE]]))</f>
        <v>wuhan-three-towns-fc</v>
      </c>
      <c r="B727" t="s">
        <v>727</v>
      </c>
      <c r="C727" t="str">
        <f>_xlfn.TEXTBEFORE(_xlfn.TEXTAFTER(Tabla1[[#This Row],[ENLACE]],"/",1),"/")</f>
        <v>china</v>
      </c>
      <c r="D727" t="str">
        <f>Tabla1[[#This Row],[PAIS]]</f>
        <v>china</v>
      </c>
      <c r="E727" s="8" t="str">
        <f ca="1">IF(VLOOKUP(Tabla1[[#This Row],[DIVISION]],$H$2:$I$44,2)="X","SI","NO")</f>
        <v>SI</v>
      </c>
    </row>
    <row r="728" spans="1:5" x14ac:dyDescent="0.3">
      <c r="A728" t="str">
        <f>MID(Tabla1[[#This Row],[ENLACE]],FIND("~",SUBSTITUTE(Tabla1[[#This Row],[ENLACE]],"/","~",2))+1,LEN(Tabla1[[#This Row],[ENLACE]]))</f>
        <v>yunnan-yukun-fc</v>
      </c>
      <c r="B728" t="s">
        <v>728</v>
      </c>
      <c r="C728" t="str">
        <f>_xlfn.TEXTBEFORE(_xlfn.TEXTAFTER(Tabla1[[#This Row],[ENLACE]],"/",1),"/")</f>
        <v>china</v>
      </c>
      <c r="D728" t="str">
        <f>Tabla1[[#This Row],[PAIS]]</f>
        <v>china</v>
      </c>
      <c r="E728" s="8" t="str">
        <f ca="1">IF(VLOOKUP(Tabla1[[#This Row],[DIVISION]],$H$2:$I$44,2)="X","SI","NO")</f>
        <v>SI</v>
      </c>
    </row>
    <row r="729" spans="1:5" x14ac:dyDescent="0.3">
      <c r="A729" t="str">
        <f>MID(Tabla1[[#This Row],[ENLACE]],FIND("~",SUBSTITUTE(Tabla1[[#This Row],[ENLACE]],"/","~",2))+1,LEN(Tabla1[[#This Row],[ENLACE]]))</f>
        <v>zhejiang-professional-fc</v>
      </c>
      <c r="B729" t="s">
        <v>729</v>
      </c>
      <c r="C729" t="str">
        <f>_xlfn.TEXTBEFORE(_xlfn.TEXTAFTER(Tabla1[[#This Row],[ENLACE]],"/",1),"/")</f>
        <v>china</v>
      </c>
      <c r="D729" t="str">
        <f>Tabla1[[#This Row],[PAIS]]</f>
        <v>china</v>
      </c>
      <c r="E729" s="8" t="str">
        <f ca="1">IF(VLOOKUP(Tabla1[[#This Row],[DIVISION]],$H$2:$I$44,2)="X","SI","NO")</f>
        <v>SI</v>
      </c>
    </row>
  </sheetData>
  <conditionalFormatting sqref="K2:K44">
    <cfRule type="containsText" dxfId="1" priority="1" operator="containsText" text="act">
      <formula>NOT(ISERROR(SEARCH("act",K2)))</formula>
    </cfRule>
  </conditionalFormatting>
  <pageMargins left="0.7" right="0.7" top="0.75" bottom="0.75" header="0.3" footer="0.3"/>
  <pageSetup paperSize="9" orientation="portrait" horizontalDpi="0" verticalDpi="0" r:id="rId1"/>
  <ignoredErrors>
    <ignoredError sqref="D218:D241 D514:D535 D290:D307" calculatedColumn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Caceres</dc:creator>
  <cp:lastModifiedBy>Jose Caceres</cp:lastModifiedBy>
  <dcterms:created xsi:type="dcterms:W3CDTF">2024-01-29T19:09:16Z</dcterms:created>
  <dcterms:modified xsi:type="dcterms:W3CDTF">2026-10-30T19:27:23Z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2024-01-30T01:47:36Z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e380cdca-873e-486b-baf3-9b9462891361</vt:lpwstr>
  </property>
  <property fmtid="{D5CDD505-2E9C-101B-9397-08002B2CF9AE}" pid="7" name="MSIP_Label_defa4170-0d19-0005-0004-bc88714345d2_ActionId">
    <vt:lpwstr>1aad7657-eb52-496d-a233-aba2bf99d14c</vt:lpwstr>
  </property>
  <property fmtid="{D5CDD505-2E9C-101B-9397-08002B2CF9AE}" pid="8" name="MSIP_Label_defa4170-0d19-0005-0004-bc88714345d2_ContentBits">
    <vt:lpwstr>0</vt:lpwstr>
  </property>
</Properties>
</file>