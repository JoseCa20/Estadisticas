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60A8982B-6812-4F9B-8430-8AEC7E4ACAFD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11" i="1"/>
  <c r="D12" i="1"/>
  <c r="D23" i="1"/>
  <c r="D24" i="1"/>
  <c r="D30" i="1"/>
  <c r="D31" i="1"/>
  <c r="D32" i="1"/>
  <c r="D33" i="1"/>
  <c r="D35" i="1"/>
  <c r="D36" i="1"/>
  <c r="D56" i="1"/>
  <c r="D57" i="1"/>
  <c r="D58" i="1"/>
  <c r="D59" i="1"/>
  <c r="D60" i="1"/>
  <c r="D67" i="1"/>
  <c r="D68" i="1"/>
  <c r="D69" i="1"/>
  <c r="D79" i="1"/>
  <c r="D80" i="1"/>
  <c r="D81" i="1"/>
  <c r="D82" i="1"/>
  <c r="D83" i="1"/>
  <c r="D91" i="1"/>
  <c r="D92" i="1"/>
  <c r="D93" i="1"/>
  <c r="D94" i="1"/>
  <c r="D95" i="1"/>
  <c r="D96" i="1"/>
  <c r="D111" i="1"/>
  <c r="D112" i="1"/>
  <c r="D113" i="1"/>
  <c r="D122" i="1"/>
  <c r="D123" i="1"/>
  <c r="D124" i="1"/>
  <c r="D125" i="1"/>
  <c r="D126" i="1"/>
  <c r="D130" i="1"/>
  <c r="D131" i="1"/>
  <c r="D151" i="1"/>
  <c r="D166" i="1"/>
  <c r="D167" i="1"/>
  <c r="D168" i="1"/>
  <c r="D169" i="1"/>
  <c r="D170" i="1"/>
  <c r="D171" i="1"/>
  <c r="D172" i="1"/>
  <c r="D180" i="1"/>
  <c r="D181" i="1"/>
  <c r="D182" i="1"/>
  <c r="D183" i="1"/>
  <c r="D184" i="1"/>
  <c r="D191" i="1"/>
  <c r="D192" i="1"/>
  <c r="D193" i="1"/>
  <c r="D194" i="1"/>
  <c r="D195" i="1"/>
  <c r="D196" i="1"/>
  <c r="D197" i="1"/>
  <c r="D198" i="1"/>
  <c r="D205" i="1"/>
  <c r="D206" i="1"/>
  <c r="D207" i="1"/>
  <c r="D243" i="1"/>
  <c r="D244" i="1"/>
  <c r="D245" i="1"/>
  <c r="D262" i="1"/>
  <c r="D263" i="1"/>
  <c r="D270" i="1"/>
  <c r="D271" i="1"/>
  <c r="D275" i="1"/>
  <c r="D276" i="1"/>
  <c r="D277" i="1"/>
  <c r="D278" i="1"/>
  <c r="D287" i="1"/>
  <c r="D291" i="1"/>
  <c r="D292" i="1"/>
  <c r="D293" i="1"/>
  <c r="D303" i="1"/>
  <c r="D304" i="1"/>
  <c r="D305" i="1"/>
  <c r="D306" i="1"/>
  <c r="D307" i="1"/>
  <c r="D315" i="1"/>
  <c r="D316" i="1"/>
  <c r="D317" i="1"/>
  <c r="D318" i="1"/>
  <c r="D319" i="1"/>
  <c r="D324" i="1"/>
  <c r="D325" i="1"/>
  <c r="D326" i="1"/>
  <c r="D329" i="1"/>
  <c r="D330" i="1"/>
  <c r="D331" i="1"/>
  <c r="D341" i="1"/>
  <c r="D342" i="1"/>
  <c r="D343" i="1"/>
  <c r="D348" i="1"/>
  <c r="D349" i="1"/>
  <c r="D353" i="1"/>
  <c r="D354" i="1"/>
  <c r="D355" i="1"/>
  <c r="D365" i="1"/>
  <c r="D366" i="1"/>
  <c r="D367" i="1"/>
  <c r="D377" i="1"/>
  <c r="D378" i="1"/>
  <c r="D379" i="1"/>
  <c r="D389" i="1"/>
  <c r="D390" i="1"/>
  <c r="D391" i="1"/>
  <c r="D396" i="1"/>
  <c r="D397" i="1"/>
  <c r="D398" i="1"/>
  <c r="D399" i="1"/>
  <c r="D400" i="1"/>
  <c r="D401" i="1"/>
  <c r="D402" i="1"/>
  <c r="D403" i="1"/>
  <c r="D413" i="1"/>
  <c r="D414" i="1"/>
  <c r="D415" i="1"/>
  <c r="D420" i="1"/>
  <c r="D421" i="1"/>
  <c r="D425" i="1"/>
  <c r="D426" i="1"/>
  <c r="D427" i="1"/>
  <c r="D449" i="1"/>
  <c r="D450" i="1"/>
  <c r="D451" i="1"/>
  <c r="D461" i="1"/>
  <c r="D462" i="1"/>
  <c r="D463" i="1"/>
  <c r="D485" i="1"/>
  <c r="D486" i="1"/>
  <c r="D487" i="1"/>
  <c r="D492" i="1"/>
  <c r="D497" i="1"/>
  <c r="D498" i="1"/>
  <c r="D499" i="1"/>
  <c r="D504" i="1"/>
  <c r="D509" i="1"/>
  <c r="D511" i="1"/>
  <c r="D523" i="1"/>
  <c r="D553" i="1"/>
  <c r="D554" i="1"/>
  <c r="D555" i="1"/>
  <c r="D556" i="1"/>
  <c r="D557" i="1"/>
  <c r="D565" i="1"/>
  <c r="D566" i="1"/>
  <c r="D567" i="1"/>
  <c r="D568" i="1"/>
  <c r="D569" i="1"/>
  <c r="D577" i="1"/>
  <c r="D589" i="1"/>
  <c r="D590" i="1"/>
  <c r="D591" i="1"/>
  <c r="D592" i="1"/>
  <c r="D593" i="1"/>
  <c r="D601" i="1"/>
  <c r="D602" i="1"/>
  <c r="D603" i="1"/>
  <c r="D604" i="1"/>
  <c r="D605" i="1"/>
  <c r="D622" i="1"/>
  <c r="D623" i="1"/>
  <c r="D624" i="1"/>
  <c r="D625" i="1"/>
  <c r="D626" i="1"/>
  <c r="D635" i="1"/>
  <c r="D636" i="1"/>
  <c r="D637" i="1"/>
  <c r="D638" i="1"/>
  <c r="D639" i="1"/>
  <c r="D640" i="1"/>
  <c r="I34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C620" i="1"/>
  <c r="D620" i="1" s="1"/>
  <c r="C621" i="1"/>
  <c r="D621" i="1" s="1"/>
  <c r="C622" i="1"/>
  <c r="C623" i="1"/>
  <c r="C624" i="1"/>
  <c r="C625" i="1"/>
  <c r="C626" i="1"/>
  <c r="C627" i="1"/>
  <c r="D627" i="1" s="1"/>
  <c r="C628" i="1"/>
  <c r="D628" i="1" s="1"/>
  <c r="C629" i="1"/>
  <c r="D629" i="1" s="1"/>
  <c r="C630" i="1"/>
  <c r="D630" i="1" s="1"/>
  <c r="C631" i="1"/>
  <c r="D631" i="1" s="1"/>
  <c r="C632" i="1"/>
  <c r="D632" i="1" s="1"/>
  <c r="C633" i="1"/>
  <c r="D633" i="1" s="1"/>
  <c r="C634" i="1"/>
  <c r="D634" i="1" s="1"/>
  <c r="C635" i="1"/>
  <c r="C636" i="1"/>
  <c r="C637" i="1"/>
  <c r="C638" i="1"/>
  <c r="C639" i="1"/>
  <c r="C640" i="1"/>
  <c r="A610" i="1"/>
  <c r="A611" i="1"/>
  <c r="A612" i="1"/>
  <c r="A613" i="1"/>
  <c r="A614" i="1"/>
  <c r="A615" i="1"/>
  <c r="A616" i="1"/>
  <c r="A617" i="1"/>
  <c r="A618" i="1"/>
  <c r="A619" i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D34" i="1" s="1"/>
  <c r="C35" i="1"/>
  <c r="C36" i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C181" i="1"/>
  <c r="C182" i="1"/>
  <c r="C183" i="1"/>
  <c r="C184" i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C192" i="1"/>
  <c r="C193" i="1"/>
  <c r="C194" i="1"/>
  <c r="C195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C324" i="1"/>
  <c r="C325" i="1"/>
  <c r="C326" i="1"/>
  <c r="C327" i="1"/>
  <c r="D327" i="1" s="1"/>
  <c r="C328" i="1"/>
  <c r="D328" i="1" s="1"/>
  <c r="C329" i="1"/>
  <c r="C330" i="1"/>
  <c r="C331" i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C196" i="1"/>
  <c r="C197" i="1"/>
  <c r="C198" i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C206" i="1"/>
  <c r="C207" i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510" i="1"/>
  <c r="D510" i="1" s="1"/>
  <c r="C511" i="1"/>
  <c r="C512" i="1"/>
  <c r="D512" i="1" s="1"/>
  <c r="C513" i="1"/>
  <c r="D513" i="1" s="1"/>
  <c r="C514" i="1"/>
  <c r="D514" i="1" s="1"/>
  <c r="C515" i="1"/>
  <c r="D515" i="1" s="1"/>
  <c r="C516" i="1"/>
  <c r="D516" i="1" s="1"/>
  <c r="C517" i="1"/>
  <c r="D517" i="1" s="1"/>
  <c r="C518" i="1"/>
  <c r="D518" i="1" s="1"/>
  <c r="C519" i="1"/>
  <c r="D519" i="1" s="1"/>
  <c r="C520" i="1"/>
  <c r="D520" i="1" s="1"/>
  <c r="C521" i="1"/>
  <c r="D521" i="1" s="1"/>
  <c r="C522" i="1"/>
  <c r="D522" i="1" s="1"/>
  <c r="C523" i="1"/>
  <c r="C524" i="1"/>
  <c r="D524" i="1" s="1"/>
  <c r="C525" i="1"/>
  <c r="D525" i="1" s="1"/>
  <c r="C526" i="1"/>
  <c r="D526" i="1" s="1"/>
  <c r="C527" i="1"/>
  <c r="D527" i="1" s="1"/>
  <c r="C528" i="1"/>
  <c r="D528" i="1" s="1"/>
  <c r="C529" i="1"/>
  <c r="D529" i="1" s="1"/>
  <c r="C270" i="1"/>
  <c r="C271" i="1"/>
  <c r="C272" i="1"/>
  <c r="D272" i="1" s="1"/>
  <c r="C273" i="1"/>
  <c r="D273" i="1" s="1"/>
  <c r="C274" i="1"/>
  <c r="D274" i="1" s="1"/>
  <c r="C275" i="1"/>
  <c r="C276" i="1"/>
  <c r="C277" i="1"/>
  <c r="C278" i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C57" i="1"/>
  <c r="C58" i="1"/>
  <c r="C59" i="1"/>
  <c r="C60" i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C68" i="1"/>
  <c r="C69" i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C80" i="1"/>
  <c r="C81" i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C92" i="1"/>
  <c r="C93" i="1"/>
  <c r="C94" i="1"/>
  <c r="C95" i="1"/>
  <c r="C96" i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C12" i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C24" i="1"/>
  <c r="C25" i="1"/>
  <c r="D25" i="1" s="1"/>
  <c r="C26" i="1"/>
  <c r="D26" i="1" s="1"/>
  <c r="C27" i="1"/>
  <c r="D27" i="1" s="1"/>
  <c r="C28" i="1"/>
  <c r="D28" i="1" s="1"/>
  <c r="C29" i="1"/>
  <c r="D29" i="1" s="1"/>
  <c r="C30" i="1"/>
  <c r="C31" i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C169" i="1"/>
  <c r="C170" i="1"/>
  <c r="C171" i="1"/>
  <c r="C172" i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C263" i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88" i="1"/>
  <c r="D288" i="1" s="1"/>
  <c r="C289" i="1"/>
  <c r="D289" i="1" s="1"/>
  <c r="C290" i="1"/>
  <c r="D290" i="1" s="1"/>
  <c r="C291" i="1"/>
  <c r="C292" i="1"/>
  <c r="C293" i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C304" i="1"/>
  <c r="C305" i="1"/>
  <c r="C306" i="1"/>
  <c r="C307" i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C316" i="1"/>
  <c r="C317" i="1"/>
  <c r="C318" i="1"/>
  <c r="C319" i="1"/>
  <c r="C320" i="1"/>
  <c r="D320" i="1" s="1"/>
  <c r="C321" i="1"/>
  <c r="D321" i="1" s="1"/>
  <c r="C322" i="1"/>
  <c r="D322" i="1" s="1"/>
  <c r="C323" i="1"/>
  <c r="D323" i="1" s="1"/>
  <c r="C338" i="1"/>
  <c r="D338" i="1" s="1"/>
  <c r="C339" i="1"/>
  <c r="D339" i="1" s="1"/>
  <c r="C340" i="1"/>
  <c r="D340" i="1" s="1"/>
  <c r="C341" i="1"/>
  <c r="C342" i="1"/>
  <c r="C343" i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C354" i="1"/>
  <c r="C355" i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C366" i="1"/>
  <c r="C367" i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C378" i="1"/>
  <c r="C379" i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C390" i="1"/>
  <c r="C391" i="1"/>
  <c r="C392" i="1"/>
  <c r="D392" i="1" s="1"/>
  <c r="C393" i="1"/>
  <c r="D393" i="1" s="1"/>
  <c r="C394" i="1"/>
  <c r="D394" i="1" s="1"/>
  <c r="C395" i="1"/>
  <c r="D395" i="1" s="1"/>
  <c r="C396" i="1"/>
  <c r="C397" i="1"/>
  <c r="C398" i="1"/>
  <c r="C399" i="1"/>
  <c r="C400" i="1"/>
  <c r="C401" i="1"/>
  <c r="C402" i="1"/>
  <c r="C403" i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C414" i="1"/>
  <c r="C415" i="1"/>
  <c r="C416" i="1"/>
  <c r="D416" i="1" s="1"/>
  <c r="C417" i="1"/>
  <c r="D417" i="1" s="1"/>
  <c r="C418" i="1"/>
  <c r="D418" i="1" s="1"/>
  <c r="C419" i="1"/>
  <c r="D419" i="1" s="1"/>
  <c r="C420" i="1"/>
  <c r="C421" i="1"/>
  <c r="C422" i="1"/>
  <c r="D422" i="1" s="1"/>
  <c r="C423" i="1"/>
  <c r="D423" i="1" s="1"/>
  <c r="C424" i="1"/>
  <c r="D424" i="1" s="1"/>
  <c r="C425" i="1"/>
  <c r="C426" i="1"/>
  <c r="C427" i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C450" i="1"/>
  <c r="C451" i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C462" i="1"/>
  <c r="C463" i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C486" i="1"/>
  <c r="C487" i="1"/>
  <c r="C488" i="1"/>
  <c r="D488" i="1" s="1"/>
  <c r="C489" i="1"/>
  <c r="D489" i="1" s="1"/>
  <c r="C490" i="1"/>
  <c r="D490" i="1" s="1"/>
  <c r="C491" i="1"/>
  <c r="D491" i="1" s="1"/>
  <c r="C492" i="1"/>
  <c r="C493" i="1"/>
  <c r="D493" i="1" s="1"/>
  <c r="C494" i="1"/>
  <c r="D494" i="1" s="1"/>
  <c r="C495" i="1"/>
  <c r="D495" i="1" s="1"/>
  <c r="C496" i="1"/>
  <c r="D496" i="1" s="1"/>
  <c r="C497" i="1"/>
  <c r="C498" i="1"/>
  <c r="C499" i="1"/>
  <c r="C500" i="1"/>
  <c r="D500" i="1" s="1"/>
  <c r="C501" i="1"/>
  <c r="D501" i="1" s="1"/>
  <c r="C502" i="1"/>
  <c r="D502" i="1" s="1"/>
  <c r="C503" i="1"/>
  <c r="D503" i="1" s="1"/>
  <c r="C504" i="1"/>
  <c r="C505" i="1"/>
  <c r="D505" i="1" s="1"/>
  <c r="C506" i="1"/>
  <c r="D506" i="1" s="1"/>
  <c r="C507" i="1"/>
  <c r="D507" i="1" s="1"/>
  <c r="C508" i="1"/>
  <c r="D508" i="1" s="1"/>
  <c r="C50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D552" i="1" s="1"/>
  <c r="C553" i="1"/>
  <c r="C554" i="1"/>
  <c r="C555" i="1"/>
  <c r="C556" i="1"/>
  <c r="C557" i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C566" i="1"/>
  <c r="C567" i="1"/>
  <c r="C568" i="1"/>
  <c r="C569" i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C590" i="1"/>
  <c r="C591" i="1"/>
  <c r="C592" i="1"/>
  <c r="C593" i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C602" i="1"/>
  <c r="C603" i="1"/>
  <c r="C604" i="1"/>
  <c r="C605" i="1"/>
  <c r="C606" i="1"/>
  <c r="D606" i="1" s="1"/>
  <c r="C607" i="1"/>
  <c r="D607" i="1" s="1"/>
  <c r="C608" i="1"/>
  <c r="D608" i="1" s="1"/>
  <c r="C609" i="1"/>
  <c r="D609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C123" i="1"/>
  <c r="C124" i="1"/>
  <c r="C125" i="1"/>
  <c r="C126" i="1"/>
  <c r="C127" i="1"/>
  <c r="D127" i="1" s="1"/>
  <c r="C128" i="1"/>
  <c r="D128" i="1" s="1"/>
  <c r="C129" i="1"/>
  <c r="D129" i="1" s="1"/>
  <c r="C130" i="1"/>
  <c r="C131" i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26" i="1" l="1"/>
  <c r="E638" i="1"/>
  <c r="E627" i="1"/>
  <c r="E639" i="1"/>
  <c r="E636" i="1"/>
  <c r="E624" i="1"/>
  <c r="E631" i="1"/>
  <c r="E632" i="1"/>
  <c r="E620" i="1"/>
  <c r="E637" i="1"/>
  <c r="E623" i="1"/>
  <c r="E625" i="1"/>
  <c r="E635" i="1"/>
  <c r="E621" i="1"/>
  <c r="E630" i="1"/>
  <c r="E622" i="1"/>
  <c r="E640" i="1"/>
  <c r="E634" i="1"/>
  <c r="E633" i="1"/>
  <c r="E628" i="1"/>
  <c r="E629" i="1"/>
  <c r="E614" i="1"/>
  <c r="E613" i="1"/>
  <c r="E615" i="1"/>
  <c r="E612" i="1"/>
  <c r="E611" i="1"/>
  <c r="E610" i="1"/>
  <c r="E617" i="1"/>
  <c r="E618" i="1"/>
  <c r="E619" i="1"/>
  <c r="E616" i="1"/>
  <c r="E508" i="1"/>
  <c r="E306" i="1"/>
  <c r="E181" i="1"/>
  <c r="E202" i="1"/>
  <c r="E141" i="1"/>
  <c r="E528" i="1"/>
  <c r="E184" i="1"/>
  <c r="E278" i="1"/>
  <c r="E565" i="1"/>
  <c r="E433" i="1"/>
  <c r="E586" i="1"/>
  <c r="E254" i="1"/>
  <c r="E216" i="1"/>
  <c r="E591" i="1"/>
  <c r="E178" i="1"/>
  <c r="E560" i="1"/>
  <c r="E506" i="1"/>
  <c r="E36" i="1"/>
  <c r="E496" i="1"/>
  <c r="E114" i="1"/>
  <c r="E445" i="1"/>
  <c r="E230" i="1"/>
  <c r="E132" i="1"/>
  <c r="E166" i="1"/>
  <c r="E524" i="1"/>
  <c r="E83" i="1"/>
  <c r="E457" i="1"/>
  <c r="E471" i="1"/>
  <c r="E148" i="1"/>
  <c r="E380" i="1"/>
  <c r="E293" i="1"/>
  <c r="E399" i="1"/>
  <c r="E588" i="1"/>
  <c r="E480" i="1"/>
  <c r="E92" i="1"/>
  <c r="E410" i="1"/>
  <c r="E206" i="1"/>
  <c r="E581" i="1"/>
  <c r="E120" i="1"/>
  <c r="E561" i="1"/>
  <c r="E130" i="1"/>
  <c r="E512" i="1"/>
  <c r="E596" i="1"/>
  <c r="E413" i="1"/>
  <c r="E104" i="1"/>
  <c r="E146" i="1"/>
  <c r="E218" i="1"/>
  <c r="E364" i="1"/>
  <c r="E554" i="1"/>
  <c r="E460" i="1"/>
  <c r="E160" i="1"/>
  <c r="E182" i="1"/>
  <c r="E563" i="1"/>
  <c r="E108" i="1"/>
  <c r="E549" i="1"/>
  <c r="E72" i="1"/>
  <c r="E500" i="1"/>
  <c r="E48" i="1"/>
  <c r="E340" i="1"/>
  <c r="E37" i="1"/>
  <c r="E468" i="1"/>
  <c r="E319" i="1"/>
  <c r="E411" i="1"/>
  <c r="E389" i="1"/>
  <c r="E608" i="1"/>
  <c r="E136" i="1"/>
  <c r="E301" i="1"/>
  <c r="E551" i="1"/>
  <c r="E562" i="1"/>
  <c r="E537" i="1"/>
  <c r="E526" i="1"/>
  <c r="E488" i="1"/>
  <c r="E188" i="1"/>
  <c r="E422" i="1"/>
  <c r="E259" i="1"/>
  <c r="E566" i="1"/>
  <c r="E564" i="1"/>
  <c r="E68" i="1"/>
  <c r="E198" i="1"/>
  <c r="E257" i="1"/>
  <c r="E373" i="1"/>
  <c r="E112" i="1"/>
  <c r="E289" i="1"/>
  <c r="E455" i="1"/>
  <c r="E538" i="1"/>
  <c r="E418" i="1"/>
  <c r="E502" i="1"/>
  <c r="E369" i="1"/>
  <c r="E176" i="1"/>
  <c r="E122" i="1"/>
  <c r="E173" i="1"/>
  <c r="E541" i="1"/>
  <c r="E295" i="1"/>
  <c r="E163" i="1"/>
  <c r="E209" i="1"/>
  <c r="E159" i="1"/>
  <c r="E570" i="1"/>
  <c r="E601" i="1"/>
  <c r="E277" i="1"/>
  <c r="E443" i="1"/>
  <c r="E514" i="1"/>
  <c r="E406" i="1"/>
  <c r="E442" i="1"/>
  <c r="E357" i="1"/>
  <c r="E164" i="1"/>
  <c r="E456" i="1"/>
  <c r="E315" i="1"/>
  <c r="E100" i="1"/>
  <c r="E507" i="1"/>
  <c r="E529" i="1"/>
  <c r="E597" i="1"/>
  <c r="E352" i="1"/>
  <c r="E135" i="1"/>
  <c r="E427" i="1"/>
  <c r="E531" i="1"/>
  <c r="E241" i="1"/>
  <c r="E431" i="1"/>
  <c r="E419" i="1"/>
  <c r="E394" i="1"/>
  <c r="E395" i="1"/>
  <c r="E345" i="1"/>
  <c r="E152" i="1"/>
  <c r="E594" i="1"/>
  <c r="E435" i="1"/>
  <c r="E492" i="1"/>
  <c r="E59" i="1"/>
  <c r="E240" i="1"/>
  <c r="E335" i="1"/>
  <c r="E377" i="1"/>
  <c r="E458" i="1"/>
  <c r="E33" i="1"/>
  <c r="E169" i="1"/>
  <c r="E227" i="1"/>
  <c r="E311" i="1"/>
  <c r="E469" i="1"/>
  <c r="E149" i="1"/>
  <c r="E125" i="1"/>
  <c r="E339" i="1"/>
  <c r="E472" i="1"/>
  <c r="E70" i="1"/>
  <c r="E343" i="1"/>
  <c r="E470" i="1"/>
  <c r="E556" i="1"/>
  <c r="E589" i="1"/>
  <c r="E304" i="1"/>
  <c r="E111" i="1"/>
  <c r="E391" i="1"/>
  <c r="E511" i="1"/>
  <c r="E205" i="1"/>
  <c r="E300" i="1"/>
  <c r="E383" i="1"/>
  <c r="E262" i="1"/>
  <c r="E371" i="1"/>
  <c r="E201" i="1"/>
  <c r="E140" i="1"/>
  <c r="E197" i="1"/>
  <c r="E102" i="1"/>
  <c r="E127" i="1"/>
  <c r="E232" i="1"/>
  <c r="E302" i="1"/>
  <c r="E263" i="1"/>
  <c r="E94" i="1"/>
  <c r="E258" i="1"/>
  <c r="E228" i="1"/>
  <c r="E190" i="1"/>
  <c r="E129" i="1"/>
  <c r="E126" i="1"/>
  <c r="E138" i="1"/>
  <c r="E553" i="1"/>
  <c r="E95" i="1"/>
  <c r="E530" i="1"/>
  <c r="E175" i="1"/>
  <c r="E494" i="1"/>
  <c r="E314" i="1"/>
  <c r="E436" i="1"/>
  <c r="E522" i="1"/>
  <c r="E256" i="1"/>
  <c r="E89" i="1"/>
  <c r="E161" i="1"/>
  <c r="E439" i="1"/>
  <c r="E193" i="1"/>
  <c r="E288" i="1"/>
  <c r="E347" i="1"/>
  <c r="E250" i="1"/>
  <c r="E359" i="1"/>
  <c r="E189" i="1"/>
  <c r="E128" i="1"/>
  <c r="H2" i="1"/>
  <c r="E29" i="1" s="1"/>
  <c r="E76" i="1"/>
  <c r="E542" i="1"/>
  <c r="E260" i="1"/>
  <c r="E297" i="1"/>
  <c r="E346" i="1"/>
  <c r="E603" i="1"/>
  <c r="E312" i="1"/>
  <c r="E313" i="1"/>
  <c r="E547" i="1"/>
  <c r="E91" i="1"/>
  <c r="E162" i="1"/>
  <c r="E409" i="1"/>
  <c r="E497" i="1"/>
  <c r="E354" i="1"/>
  <c r="E61" i="1"/>
  <c r="E523" i="1"/>
  <c r="E187" i="1"/>
  <c r="E366" i="1"/>
  <c r="E403" i="1"/>
  <c r="E194" i="1"/>
  <c r="E546" i="1"/>
  <c r="E386" i="1"/>
  <c r="E332" i="1"/>
  <c r="E309" i="1"/>
  <c r="E590" i="1"/>
  <c r="E52" i="1"/>
  <c r="E358" i="1"/>
  <c r="E53" i="1"/>
  <c r="E74" i="1"/>
  <c r="E348" i="1"/>
  <c r="E43" i="1"/>
  <c r="E134" i="1"/>
  <c r="E113" i="1"/>
  <c r="E519" i="1"/>
  <c r="E425" i="1"/>
  <c r="E533" i="1"/>
  <c r="E412" i="1"/>
  <c r="E199" i="1"/>
  <c r="E101" i="1"/>
  <c r="E222" i="1"/>
  <c r="E493" i="1"/>
  <c r="E139" i="1"/>
  <c r="E46" i="1"/>
  <c r="E545" i="1"/>
  <c r="E269" i="1"/>
  <c r="E344" i="1"/>
  <c r="E321" i="1"/>
  <c r="E602" i="1"/>
  <c r="E64" i="1"/>
  <c r="E370" i="1"/>
  <c r="E65" i="1"/>
  <c r="E86" i="1"/>
  <c r="E408" i="1"/>
  <c r="E55" i="1"/>
  <c r="E158" i="1"/>
  <c r="E585" i="1"/>
  <c r="E137" i="1"/>
  <c r="E571" i="1"/>
  <c r="E444" i="1"/>
  <c r="E35" i="1"/>
  <c r="E499" i="1"/>
  <c r="E400" i="1"/>
  <c r="E93" i="1"/>
  <c r="E174" i="1"/>
  <c r="E268" i="1"/>
  <c r="E557" i="1"/>
  <c r="E341" i="1"/>
  <c r="E484" i="1"/>
  <c r="E316" i="1"/>
  <c r="E333" i="1"/>
  <c r="E155" i="1"/>
  <c r="E382" i="1"/>
  <c r="E98" i="1"/>
  <c r="E420" i="1"/>
  <c r="E75" i="1"/>
  <c r="E351" i="1"/>
  <c r="E392" i="1"/>
  <c r="E353" i="1"/>
  <c r="E374" i="1"/>
  <c r="E495" i="1"/>
  <c r="E32" i="1"/>
  <c r="E133" i="1"/>
  <c r="E515" i="1"/>
  <c r="E276" i="1"/>
  <c r="E203" i="1"/>
  <c r="E501" i="1"/>
  <c r="E238" i="1"/>
  <c r="E40" i="1"/>
  <c r="E251" i="1"/>
  <c r="E476" i="1"/>
  <c r="E177" i="1"/>
  <c r="E320" i="1"/>
  <c r="E62" i="1"/>
  <c r="E487" i="1"/>
  <c r="E578" i="1"/>
  <c r="E416" i="1"/>
  <c r="E71" i="1"/>
  <c r="E69" i="1"/>
  <c r="E448" i="1"/>
  <c r="E307" i="1"/>
  <c r="E378" i="1"/>
  <c r="E401" i="1"/>
  <c r="E124" i="1"/>
  <c r="E555" i="1"/>
  <c r="E375" i="1"/>
  <c r="E34" i="1"/>
  <c r="E303" i="1"/>
  <c r="E330" i="1"/>
  <c r="E329" i="1"/>
  <c r="E328" i="1"/>
  <c r="E475" i="1"/>
  <c r="E99" i="1"/>
  <c r="E503" i="1"/>
  <c r="E264" i="1"/>
  <c r="E42" i="1"/>
  <c r="E167" i="1"/>
  <c r="E489" i="1"/>
  <c r="E226" i="1"/>
  <c r="E239" i="1"/>
  <c r="E440" i="1"/>
  <c r="E165" i="1"/>
  <c r="E308" i="1"/>
  <c r="E577" i="1"/>
  <c r="E77" i="1"/>
  <c r="E485" i="1"/>
  <c r="E504" i="1"/>
  <c r="E598" i="1"/>
  <c r="E415" i="1"/>
  <c r="E221" i="1"/>
  <c r="E294" i="1"/>
  <c r="E81" i="1"/>
  <c r="E80" i="1"/>
  <c r="E535" i="1"/>
  <c r="E305" i="1"/>
  <c r="E606" i="1"/>
  <c r="E183" i="1"/>
  <c r="E282" i="1"/>
  <c r="E185" i="1"/>
  <c r="E208" i="1"/>
  <c r="E459" i="1"/>
  <c r="E325" i="1"/>
  <c r="E87" i="1"/>
  <c r="E491" i="1"/>
  <c r="E252" i="1"/>
  <c r="E73" i="1"/>
  <c r="E453" i="1"/>
  <c r="E214" i="1"/>
  <c r="E592" i="1"/>
  <c r="E215" i="1"/>
  <c r="E428" i="1"/>
  <c r="E153" i="1"/>
  <c r="E296" i="1"/>
  <c r="E195" i="1"/>
  <c r="E243" i="1"/>
  <c r="E223" i="1"/>
  <c r="E285" i="1"/>
  <c r="E248" i="1"/>
  <c r="E50" i="1"/>
  <c r="E595" i="1"/>
  <c r="E543" i="1"/>
  <c r="E355" i="1"/>
  <c r="E342" i="1"/>
  <c r="E600" i="1"/>
  <c r="E247" i="1"/>
  <c r="E45" i="1"/>
  <c r="E147" i="1"/>
  <c r="E505" i="1"/>
  <c r="E338" i="1"/>
  <c r="E291" i="1"/>
  <c r="E79" i="1"/>
  <c r="E210" i="1"/>
  <c r="E587" i="1"/>
  <c r="E231" i="1"/>
  <c r="E483" i="1"/>
  <c r="E534" i="1"/>
  <c r="E90" i="1"/>
  <c r="E388" i="1"/>
  <c r="E349" i="1"/>
  <c r="E157" i="1"/>
  <c r="E396" i="1"/>
  <c r="E156" i="1"/>
  <c r="E604" i="1"/>
  <c r="E131" i="1"/>
  <c r="E525" i="1"/>
  <c r="E334" i="1"/>
  <c r="E96" i="1"/>
  <c r="E490" i="1"/>
  <c r="E143" i="1"/>
  <c r="E464" i="1"/>
  <c r="E273" i="1"/>
  <c r="E51" i="1"/>
  <c r="E236" i="1"/>
  <c r="E38" i="1"/>
  <c r="E150" i="1"/>
  <c r="E271" i="1"/>
  <c r="E579" i="1"/>
  <c r="E267" i="1"/>
  <c r="E559" i="1"/>
  <c r="E172" i="1"/>
  <c r="E582" i="1"/>
  <c r="E103" i="1"/>
  <c r="E379" i="1"/>
  <c r="E292" i="1"/>
  <c r="E245" i="1"/>
  <c r="E49" i="1"/>
  <c r="E186" i="1"/>
  <c r="E569" i="1"/>
  <c r="E568" i="1"/>
  <c r="E207" i="1"/>
  <c r="E447" i="1"/>
  <c r="E498" i="1"/>
  <c r="E607" i="1"/>
  <c r="E326" i="1"/>
  <c r="E337" i="1"/>
  <c r="E145" i="1"/>
  <c r="E575" i="1"/>
  <c r="E384" i="1"/>
  <c r="E144" i="1"/>
  <c r="E580" i="1"/>
  <c r="E85" i="1"/>
  <c r="E513" i="1"/>
  <c r="E322" i="1"/>
  <c r="E84" i="1"/>
  <c r="E466" i="1"/>
  <c r="E119" i="1"/>
  <c r="E452" i="1"/>
  <c r="E237" i="1"/>
  <c r="E39" i="1"/>
  <c r="E200" i="1"/>
  <c r="E397" i="1"/>
  <c r="E474" i="1"/>
  <c r="E78" i="1"/>
  <c r="E235" i="1"/>
  <c r="E510" i="1"/>
  <c r="E105" i="1"/>
  <c r="E242" i="1"/>
  <c r="E362" i="1"/>
  <c r="E450" i="1"/>
  <c r="E520" i="1"/>
  <c r="E583" i="1"/>
  <c r="E211" i="1"/>
  <c r="E365" i="1"/>
  <c r="E290" i="1"/>
  <c r="E463" i="1"/>
  <c r="E518" i="1"/>
  <c r="E461" i="1"/>
  <c r="E532" i="1"/>
  <c r="E279" i="1"/>
  <c r="E281" i="1"/>
  <c r="E517" i="1"/>
  <c r="E58" i="1"/>
  <c r="E424" i="1"/>
  <c r="E110" i="1"/>
  <c r="E229" i="1"/>
  <c r="E539" i="1"/>
  <c r="E372" i="1"/>
  <c r="E204" i="1"/>
  <c r="E323" i="1"/>
  <c r="E41" i="1"/>
  <c r="E477" i="1"/>
  <c r="E310" i="1"/>
  <c r="E118" i="1"/>
  <c r="E574" i="1"/>
  <c r="E299" i="1"/>
  <c r="E417" i="1"/>
  <c r="E225" i="1"/>
  <c r="E284" i="1"/>
  <c r="E116" i="1"/>
  <c r="E421" i="1"/>
  <c r="E196" i="1"/>
  <c r="E544" i="1"/>
  <c r="E432" i="1"/>
  <c r="E540" i="1"/>
  <c r="E266" i="1"/>
  <c r="E558" i="1"/>
  <c r="E246" i="1"/>
  <c r="E385" i="1"/>
  <c r="E414" i="1"/>
  <c r="E402" i="1"/>
  <c r="E171" i="1"/>
  <c r="E331" i="1"/>
  <c r="E244" i="1"/>
  <c r="E482" i="1"/>
  <c r="E390" i="1"/>
  <c r="E516" i="1"/>
  <c r="E255" i="1"/>
  <c r="E609" i="1"/>
  <c r="E60" i="1"/>
  <c r="E233" i="1"/>
  <c r="E481" i="1"/>
  <c r="E404" i="1"/>
  <c r="E56" i="1"/>
  <c r="E217" i="1"/>
  <c r="E67" i="1"/>
  <c r="E527" i="1"/>
  <c r="E360" i="1"/>
  <c r="E168" i="1"/>
  <c r="E287" i="1"/>
  <c r="E465" i="1"/>
  <c r="E274" i="1"/>
  <c r="E106" i="1"/>
  <c r="E550" i="1"/>
  <c r="E275" i="1"/>
  <c r="E572" i="1"/>
  <c r="E381" i="1"/>
  <c r="E213" i="1"/>
  <c r="E63" i="1"/>
  <c r="E272" i="1"/>
  <c r="E451" i="1"/>
  <c r="E317" i="1"/>
  <c r="E283" i="1"/>
  <c r="E509" i="1"/>
  <c r="E115" i="1"/>
  <c r="E363" i="1"/>
  <c r="E47" i="1"/>
  <c r="E584" i="1"/>
  <c r="E449" i="1"/>
  <c r="E423" i="1"/>
  <c r="E387" i="1"/>
  <c r="E398" i="1"/>
  <c r="E576" i="1"/>
  <c r="E212" i="1"/>
  <c r="E356" i="1"/>
  <c r="E249" i="1"/>
  <c r="E393" i="1"/>
  <c r="E536" i="1"/>
  <c r="E179" i="1"/>
  <c r="E407" i="1"/>
  <c r="E142" i="1"/>
  <c r="E286" i="1"/>
  <c r="E429" i="1"/>
  <c r="E573" i="1"/>
  <c r="E97" i="1"/>
  <c r="E454" i="1"/>
  <c r="E54" i="1"/>
  <c r="E180" i="1"/>
  <c r="E324" i="1"/>
  <c r="E467" i="1"/>
  <c r="E593" i="1"/>
  <c r="E109" i="1"/>
  <c r="E253" i="1"/>
  <c r="E350" i="1"/>
  <c r="E567" i="1"/>
  <c r="E280" i="1"/>
  <c r="E462" i="1"/>
  <c r="E234" i="1"/>
  <c r="E57" i="1"/>
  <c r="E327" i="1"/>
  <c r="E552" i="1"/>
  <c r="E426" i="1"/>
  <c r="E446" i="1"/>
  <c r="E376" i="1"/>
  <c r="E123" i="1"/>
  <c r="E170" i="1"/>
  <c r="E219" i="1"/>
  <c r="E437" i="1"/>
  <c r="E44" i="1"/>
  <c r="E473" i="1"/>
  <c r="E434" i="1"/>
  <c r="E599" i="1"/>
  <c r="E220" i="1"/>
  <c r="E438" i="1"/>
  <c r="E521" i="1"/>
  <c r="E361" i="1"/>
  <c r="E318" i="1"/>
  <c r="E270" i="1"/>
  <c r="E151" i="1"/>
  <c r="E486" i="1"/>
  <c r="E82" i="1"/>
  <c r="E224" i="1"/>
  <c r="E368" i="1"/>
  <c r="E117" i="1"/>
  <c r="E261" i="1"/>
  <c r="E405" i="1"/>
  <c r="E548" i="1"/>
  <c r="E191" i="1"/>
  <c r="E430" i="1"/>
  <c r="E154" i="1"/>
  <c r="E298" i="1"/>
  <c r="E441" i="1"/>
  <c r="E107" i="1"/>
  <c r="E478" i="1"/>
  <c r="E66" i="1"/>
  <c r="E192" i="1"/>
  <c r="E336" i="1"/>
  <c r="E479" i="1"/>
  <c r="E605" i="1"/>
  <c r="E121" i="1"/>
  <c r="E265" i="1"/>
  <c r="E88" i="1"/>
  <c r="E367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<sst xmlns="http://schemas.openxmlformats.org/spreadsheetml/2006/main" count="708" uniqueCount="629">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</sst>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40" totalsRowShown="0" headerRowDxfId="5">
  <autoFilter ref="A1:E640" xr:uid="{1329FF03-B366-468C-915B-7B9006981626}"/>
  <sortState xmlns:xlrd2="http://schemas.microsoft.com/office/spreadsheetml/2017/richdata2" ref="A2:C609">
    <sortCondition ref="C1:C609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40"/>
  <sheetViews>
    <sheetView tabSelected="1" topLeftCell="A11" workbookViewId="0">
      <selection activeCell="K35" sqref="K35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611</v>
      </c>
      <c r="E1" s="1" t="s">
        <v>558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134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NO</v>
      </c>
      <c r="H2" s="9" t="str" cm="1">
        <f t="array" ref="H2:H34">_xlfn.UNIQUE(Tabla1[PAIS])</f>
        <v>argentina</v>
      </c>
      <c r="I2" s="9" t="str">
        <f ca="1">IF(J2&gt;TODAY(),"","X")</f>
        <v/>
      </c>
      <c r="J2" s="10">
        <v>46227</v>
      </c>
      <c r="K2" s="9"/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135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NO</v>
      </c>
      <c r="H3" s="9" t="str">
        <v>australia</v>
      </c>
      <c r="I3" s="9" t="str">
        <f ca="1">IF(J3&gt;TODAY(),"","X")</f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136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NO</v>
      </c>
      <c r="H4" s="9" t="str">
        <v>austria</v>
      </c>
      <c r="I4" s="9" t="str">
        <f t="shared" ref="I4:I34" ca="1" si="0">IF(J4&gt;TODAY(),"","X")</f>
        <v/>
      </c>
      <c r="J4" s="10">
        <v>46237</v>
      </c>
      <c r="K4" s="9" t="s">
        <v>559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137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NO</v>
      </c>
      <c r="H5" s="9" t="str">
        <v>belgium</v>
      </c>
      <c r="I5" s="9" t="str">
        <f t="shared" ca="1" si="0"/>
        <v/>
      </c>
      <c r="J5" s="10">
        <v>46241</v>
      </c>
      <c r="K5" s="9"/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138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NO</v>
      </c>
      <c r="H6" s="9" t="str">
        <v>brazil</v>
      </c>
      <c r="I6" s="9" t="str">
        <f t="shared" ca="1" si="0"/>
        <v>X</v>
      </c>
      <c r="J6" s="10">
        <v>46050</v>
      </c>
      <c r="K6" s="9" t="s">
        <v>559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139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NO</v>
      </c>
      <c r="H7" s="9" t="str">
        <v>bulgaria</v>
      </c>
      <c r="I7" s="9" t="str">
        <f t="shared" ca="1" si="0"/>
        <v/>
      </c>
      <c r="J7" s="10">
        <v>46224</v>
      </c>
      <c r="K7" s="9" t="s">
        <v>559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140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NO</v>
      </c>
      <c r="H8" s="9" t="str">
        <v>chile</v>
      </c>
      <c r="I8" s="9" t="str">
        <f t="shared" ca="1" si="0"/>
        <v>X</v>
      </c>
      <c r="J8" s="10">
        <v>46052</v>
      </c>
      <c r="K8" s="9" t="s">
        <v>559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141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NO</v>
      </c>
      <c r="H9" s="9" t="str">
        <v>colombia</v>
      </c>
      <c r="I9" s="9" t="str">
        <f t="shared" ca="1" si="0"/>
        <v/>
      </c>
      <c r="J9" s="10">
        <v>46230</v>
      </c>
      <c r="K9" s="9"/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142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NO</v>
      </c>
      <c r="H10" s="9" t="str">
        <v>croatia</v>
      </c>
      <c r="I10" s="9" t="str">
        <f t="shared" ca="1" si="0"/>
        <v/>
      </c>
      <c r="J10" s="10">
        <v>46235</v>
      </c>
      <c r="K10" s="9" t="s">
        <v>559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143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NO</v>
      </c>
      <c r="H11" s="9" t="str">
        <v>czech-republic</v>
      </c>
      <c r="I11" s="9" t="str">
        <f t="shared" ca="1" si="0"/>
        <v/>
      </c>
      <c r="J11" s="10">
        <v>46231</v>
      </c>
      <c r="K11" s="9" t="s">
        <v>559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144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NO</v>
      </c>
      <c r="H12" s="9" t="str">
        <v>denmark</v>
      </c>
      <c r="I12" s="9" t="str">
        <f t="shared" ca="1" si="0"/>
        <v/>
      </c>
      <c r="J12" s="10">
        <v>46230</v>
      </c>
      <c r="K12" s="9" t="s">
        <v>559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573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NO</v>
      </c>
      <c r="H13" s="9" t="str">
        <v>ecuador</v>
      </c>
      <c r="I13" s="9" t="str">
        <f t="shared" ca="1" si="0"/>
        <v>X</v>
      </c>
      <c r="J13" s="10">
        <v>46220</v>
      </c>
      <c r="K13" s="9" t="s">
        <v>559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145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NO</v>
      </c>
      <c r="H14" s="9" t="str">
        <v>england</v>
      </c>
      <c r="I14" s="9" t="str">
        <f t="shared" ca="1" si="0"/>
        <v/>
      </c>
      <c r="J14" s="10">
        <v>46252</v>
      </c>
      <c r="K14" s="9"/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574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NO</v>
      </c>
      <c r="H15" s="9" t="str">
        <v>finland</v>
      </c>
      <c r="I15" s="9" t="str">
        <f t="shared" ca="1" si="0"/>
        <v>X</v>
      </c>
      <c r="J15" s="10">
        <v>46116</v>
      </c>
      <c r="K15" s="9" t="s">
        <v>559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146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NO</v>
      </c>
      <c r="H16" s="9" t="str">
        <v>france</v>
      </c>
      <c r="I16" s="9" t="str">
        <f t="shared" ca="1" si="0"/>
        <v/>
      </c>
      <c r="J16" s="10">
        <v>46258</v>
      </c>
      <c r="K16" s="9"/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147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NO</v>
      </c>
      <c r="H17" s="9" t="str">
        <v>germany</v>
      </c>
      <c r="I17" s="9" t="str">
        <f t="shared" ca="1" si="0"/>
        <v/>
      </c>
      <c r="J17" s="10">
        <v>46244</v>
      </c>
      <c r="K17" s="9"/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148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NO</v>
      </c>
      <c r="H18" s="9" t="str">
        <v>greece</v>
      </c>
      <c r="I18" s="9" t="str">
        <f t="shared" ca="1" si="0"/>
        <v/>
      </c>
      <c r="J18" s="10">
        <v>46257</v>
      </c>
      <c r="K18" s="9"/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149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NO</v>
      </c>
      <c r="H19" s="9" t="str">
        <v>italy</v>
      </c>
      <c r="I19" s="9" t="str">
        <f t="shared" ca="1" si="0"/>
        <v/>
      </c>
      <c r="J19" s="10">
        <v>46259</v>
      </c>
      <c r="K19" s="9"/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150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NO</v>
      </c>
      <c r="H20" s="9" t="str">
        <v>mexico</v>
      </c>
      <c r="I20" s="9" t="str">
        <f t="shared" ca="1" si="0"/>
        <v>X</v>
      </c>
      <c r="J20" s="10">
        <v>46220</v>
      </c>
      <c r="K20" s="9" t="s">
        <v>559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151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NO</v>
      </c>
      <c r="H21" s="9" t="str">
        <v>netherlands</v>
      </c>
      <c r="I21" s="9" t="str">
        <f t="shared" ca="1" si="0"/>
        <v/>
      </c>
      <c r="J21" s="10">
        <v>46244</v>
      </c>
      <c r="K21" s="9"/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152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NO</v>
      </c>
      <c r="H22" s="9" t="str">
        <v>norway</v>
      </c>
      <c r="I22" s="9" t="str">
        <f t="shared" ca="1" si="0"/>
        <v>X</v>
      </c>
      <c r="J22" s="10">
        <v>46095</v>
      </c>
      <c r="K22" s="9" t="s">
        <v>559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153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NO</v>
      </c>
      <c r="H23" s="9" t="str">
        <v>peru</v>
      </c>
      <c r="I23" s="9" t="str">
        <f t="shared" ca="1" si="0"/>
        <v/>
      </c>
      <c r="J23" s="10">
        <v>46223</v>
      </c>
      <c r="K23" s="9"/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154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NO</v>
      </c>
      <c r="H24" s="9" t="str">
        <v>poland</v>
      </c>
      <c r="I24" s="9" t="str">
        <f t="shared" ca="1" si="0"/>
        <v/>
      </c>
      <c r="J24" s="10">
        <v>46231</v>
      </c>
      <c r="K24" s="9" t="s">
        <v>559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155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NO</v>
      </c>
      <c r="H25" s="9" t="str">
        <v>portugal</v>
      </c>
      <c r="I25" s="9" t="str">
        <f t="shared" ca="1" si="0"/>
        <v/>
      </c>
      <c r="J25" s="10">
        <v>46243</v>
      </c>
      <c r="K25" s="9"/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156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NO</v>
      </c>
      <c r="H26" s="9" t="str">
        <v>romania</v>
      </c>
      <c r="I26" s="9" t="str">
        <f t="shared" ca="1" si="0"/>
        <v/>
      </c>
      <c r="J26" s="10">
        <v>46224</v>
      </c>
      <c r="K26" s="9" t="s">
        <v>559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157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NO</v>
      </c>
      <c r="H27" s="9" t="str">
        <v>saudi-arabia</v>
      </c>
      <c r="I27" s="9" t="str">
        <f t="shared" ca="1" si="0"/>
        <v/>
      </c>
      <c r="J27" s="10">
        <v>46242</v>
      </c>
      <c r="K27" s="9"/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158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NO</v>
      </c>
      <c r="H28" s="9" t="str">
        <v>scotland</v>
      </c>
      <c r="I28" s="9" t="str">
        <f t="shared" ca="1" si="0"/>
        <v/>
      </c>
      <c r="J28" s="10">
        <v>46238</v>
      </c>
      <c r="K28" s="9" t="s">
        <v>559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159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NO</v>
      </c>
      <c r="H29" s="9" t="str">
        <v>spain</v>
      </c>
      <c r="I29" s="9" t="str">
        <f t="shared" ca="1" si="0"/>
        <v/>
      </c>
      <c r="J29" s="10">
        <v>46252</v>
      </c>
      <c r="K29" s="9"/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160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NO</v>
      </c>
      <c r="H30" s="9" t="str">
        <v>sweden</v>
      </c>
      <c r="I30" s="9" t="str">
        <f t="shared" ca="1" si="0"/>
        <v/>
      </c>
      <c r="J30" s="10">
        <v>46252</v>
      </c>
      <c r="K30" s="9"/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161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NO</v>
      </c>
      <c r="H31" s="9" t="str">
        <v>switzerland</v>
      </c>
      <c r="I31" s="9" t="str">
        <f t="shared" ca="1" si="0"/>
        <v/>
      </c>
      <c r="J31" s="10">
        <v>46230</v>
      </c>
      <c r="K31" s="9" t="s">
        <v>559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536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559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537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559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538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559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539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540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541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542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543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544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545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546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547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614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NO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NO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NO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NO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NO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NO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NO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NO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NO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NO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NO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NO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NO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NO</v>
      </c>
    </row>
    <row r="58" spans="1:5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91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NO</v>
      </c>
    </row>
    <row r="59" spans="1:5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92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NO</v>
      </c>
    </row>
    <row r="60" spans="1:5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93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NO</v>
      </c>
    </row>
    <row r="61" spans="1:5" x14ac:dyDescent="0.3">
      <c r="A61" t="str">
        <f>MID(Tabla1[[#This Row],[ENLACE]],FIND("~",SUBSTITUTE(Tabla1[[#This Row],[ENLACE]],"/","~",2))+1,LEN(Tabla1[[#This Row],[ENLACE]]))</f>
        <v>fcv-dender-eh</v>
      </c>
      <c r="B61" s="3" t="s">
        <v>94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NO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95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NO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96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NO</v>
      </c>
    </row>
    <row r="64" spans="1:5" x14ac:dyDescent="0.3">
      <c r="A64" t="str">
        <f>MID(Tabla1[[#This Row],[ENLACE]],FIND("~",SUBSTITUTE(Tabla1[[#This Row],[ENLACE]],"/","~",2))+1,LEN(Tabla1[[#This Row],[ENLACE]]))</f>
        <v>kv-mechelen</v>
      </c>
      <c r="B64" s="4" t="s">
        <v>97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NO</v>
      </c>
    </row>
    <row r="65" spans="1:5" x14ac:dyDescent="0.3">
      <c r="A65" t="str">
        <f>MID(Tabla1[[#This Row],[ENLACE]],FIND("~",SUBSTITUTE(Tabla1[[#This Row],[ENLACE]],"/","~",2))+1,LEN(Tabla1[[#This Row],[ENLACE]]))</f>
        <v>oh-leuven</v>
      </c>
      <c r="B65" s="3" t="s">
        <v>98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NO</v>
      </c>
    </row>
    <row r="66" spans="1:5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99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NO</v>
      </c>
    </row>
    <row r="67" spans="1:5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100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NO</v>
      </c>
    </row>
    <row r="68" spans="1:5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101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NO</v>
      </c>
    </row>
    <row r="69" spans="1:5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102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NO</v>
      </c>
    </row>
    <row r="70" spans="1:5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103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NO</v>
      </c>
    </row>
    <row r="71" spans="1:5" x14ac:dyDescent="0.3">
      <c r="A71" t="str">
        <f>MID(Tabla1[[#This Row],[ENLACE]],FIND("~",SUBSTITUTE(Tabla1[[#This Row],[ENLACE]],"/","~",2))+1,LEN(Tabla1[[#This Row],[ENLACE]]))</f>
        <v>kvc-westerlo</v>
      </c>
      <c r="B71" s="3" t="s">
        <v>104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NO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563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105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106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107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108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564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109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565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110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111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112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113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114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115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116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566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117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118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119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120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121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NO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122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NO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123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NO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124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NO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125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NO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126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NO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615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NO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127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NO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128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NO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129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NO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130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NO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131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NO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132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NO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133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NO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171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172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173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174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567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175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176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177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178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179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180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181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182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183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184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568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NO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NO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NO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NO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NO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NO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560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NO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NO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NO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NO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561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NO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562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NO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NO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NO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NO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NO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NO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NO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NO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NO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162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NO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163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NO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164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NO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165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NO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166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NO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167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NO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168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NO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616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NO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169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NO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170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NO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617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NO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185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NO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618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NO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186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NO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187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NO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188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NO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189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NO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190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NO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191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NO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192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NO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193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NO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194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NO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195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NO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196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NO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197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NO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198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NO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199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NO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200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NO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201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NO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619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NO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620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NO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202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NO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203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NO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204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NO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205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NO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206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NO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207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NO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208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NO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519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520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521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522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523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571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524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525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572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526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527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528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529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530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531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532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NO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NO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NO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NO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NO</v>
      </c>
    </row>
    <row r="201" spans="1:5" x14ac:dyDescent="0.3">
      <c r="A201" t="str">
        <f>MID(Tabla1[[#This Row],[ENLACE]],FIND("~",SUBSTITUTE(Tabla1[[#This Row],[ENLACE]],"/","~",2))+1,LEN(Tabla1[[#This Row],[ENLACE]]))</f>
        <v>burnley-fc</v>
      </c>
      <c r="B201" s="5" t="s">
        <v>25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NO</v>
      </c>
    </row>
    <row r="202" spans="1:5" x14ac:dyDescent="0.3">
      <c r="A202" t="str">
        <f>MID(Tabla1[[#This Row],[ENLACE]],FIND("~",SUBSTITUTE(Tabla1[[#This Row],[ENLACE]],"/","~",2))+1,LEN(Tabla1[[#This Row],[ENLACE]]))</f>
        <v>chelsea-fc</v>
      </c>
      <c r="B202" s="2" t="s">
        <v>26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NO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NO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NO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NO</v>
      </c>
    </row>
    <row r="206" spans="1:5" x14ac:dyDescent="0.3">
      <c r="A206" t="str">
        <f>MID(Tabla1[[#This Row],[ENLACE]],FIND("~",SUBSTITUTE(Tabla1[[#This Row],[ENLACE]],"/","~",2))+1,LEN(Tabla1[[#This Row],[ENLACE]]))</f>
        <v>leeds-united-fc</v>
      </c>
      <c r="B206" s="2" t="s">
        <v>30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NO</v>
      </c>
    </row>
    <row r="207" spans="1:5" x14ac:dyDescent="0.3">
      <c r="A207" t="str">
        <f>MID(Tabla1[[#This Row],[ENLACE]],FIND("~",SUBSTITUTE(Tabla1[[#This Row],[ENLACE]],"/","~",2))+1,LEN(Tabla1[[#This Row],[ENLACE]]))</f>
        <v>liverpool-fc</v>
      </c>
      <c r="B207" s="5" t="s">
        <v>31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NO</v>
      </c>
    </row>
    <row r="208" spans="1:5" x14ac:dyDescent="0.3">
      <c r="A208" t="str">
        <f>MID(Tabla1[[#This Row],[ENLACE]],FIND("~",SUBSTITUTE(Tabla1[[#This Row],[ENLACE]],"/","~",2))+1,LEN(Tabla1[[#This Row],[ENLACE]]))</f>
        <v>manchester-city-fc</v>
      </c>
      <c r="B208" s="2" t="s">
        <v>32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NO</v>
      </c>
    </row>
    <row r="209" spans="1:5" x14ac:dyDescent="0.3">
      <c r="A209" t="str">
        <f>MID(Tabla1[[#This Row],[ENLACE]],FIND("~",SUBSTITUTE(Tabla1[[#This Row],[ENLACE]],"/","~",2))+1,LEN(Tabla1[[#This Row],[ENLACE]]))</f>
        <v>manchester-united-fc</v>
      </c>
      <c r="B209" s="5" t="s">
        <v>33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NO</v>
      </c>
    </row>
    <row r="210" spans="1:5" x14ac:dyDescent="0.3">
      <c r="A210" t="str">
        <f>MID(Tabla1[[#This Row],[ENLACE]],FIND("~",SUBSTITUTE(Tabla1[[#This Row],[ENLACE]],"/","~",2))+1,LEN(Tabla1[[#This Row],[ENLACE]]))</f>
        <v>newcastle-united-fc</v>
      </c>
      <c r="B210" s="2" t="s">
        <v>34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NO</v>
      </c>
    </row>
    <row r="211" spans="1:5" x14ac:dyDescent="0.3">
      <c r="A211" t="str">
        <f>MID(Tabla1[[#This Row],[ENLACE]],FIND("~",SUBSTITUTE(Tabla1[[#This Row],[ENLACE]],"/","~",2))+1,LEN(Tabla1[[#This Row],[ENLACE]]))</f>
        <v>nottingham-forest-fc</v>
      </c>
      <c r="B211" s="5" t="s">
        <v>35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NO</v>
      </c>
    </row>
    <row r="212" spans="1:5" x14ac:dyDescent="0.3">
      <c r="A212" t="str">
        <f>MID(Tabla1[[#This Row],[ENLACE]],FIND("~",SUBSTITUTE(Tabla1[[#This Row],[ENLACE]],"/","~",2))+1,LEN(Tabla1[[#This Row],[ENLACE]]))</f>
        <v>sunderland-afc</v>
      </c>
      <c r="B212" s="2" t="s">
        <v>36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NO</v>
      </c>
    </row>
    <row r="213" spans="1:5" x14ac:dyDescent="0.3">
      <c r="A213" t="str">
        <f>MID(Tabla1[[#This Row],[ENLACE]],FIND("~",SUBSTITUTE(Tabla1[[#This Row],[ENLACE]],"/","~",2))+1,LEN(Tabla1[[#This Row],[ENLACE]]))</f>
        <v>tottenham-hotspur-fc</v>
      </c>
      <c r="B213" s="5" t="s">
        <v>37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NO</v>
      </c>
    </row>
    <row r="214" spans="1:5" x14ac:dyDescent="0.3">
      <c r="A214" t="str">
        <f>MID(Tabla1[[#This Row],[ENLACE]],FIND("~",SUBSTITUTE(Tabla1[[#This Row],[ENLACE]],"/","~",2))+1,LEN(Tabla1[[#This Row],[ENLACE]]))</f>
        <v>west-ham-united-fc</v>
      </c>
      <c r="B214" s="2" t="s">
        <v>38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NO</v>
      </c>
    </row>
    <row r="215" spans="1:5" x14ac:dyDescent="0.3">
      <c r="A215" t="str">
        <f>MID(Tabla1[[#This Row],[ENLACE]],FIND("~",SUBSTITUTE(Tabla1[[#This Row],[ENLACE]],"/","~",2))+1,LEN(Tabla1[[#This Row],[ENLACE]]))</f>
        <v>wolverhampton-wanderers-fc</v>
      </c>
      <c r="B215" s="5" t="s">
        <v>39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NO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209</v>
      </c>
      <c r="C216" t="str">
        <f>_xlfn.TEXTBEFORE(_xlfn.TEXTAFTER(Tabla1[[#This Row],[ENLACE]],"/",1),"/")</f>
        <v>england</v>
      </c>
      <c r="D216" t="s">
        <v>612</v>
      </c>
      <c r="E216" s="8" t="str">
        <f ca="1">IF(VLOOKUP(Tabla1[[#This Row],[PAIS]],$H$2:$I$34,2)="x","SI","NO")</f>
        <v>NO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210</v>
      </c>
      <c r="C217" t="str">
        <f>_xlfn.TEXTBEFORE(_xlfn.TEXTAFTER(Tabla1[[#This Row],[ENLACE]],"/",1),"/")</f>
        <v>england</v>
      </c>
      <c r="D217" t="s">
        <v>612</v>
      </c>
      <c r="E217" s="8" t="str">
        <f ca="1">IF(VLOOKUP(Tabla1[[#This Row],[PAIS]],$H$2:$I$34,2)="x","SI","NO")</f>
        <v>NO</v>
      </c>
    </row>
    <row r="218" spans="1:5" x14ac:dyDescent="0.3">
      <c r="A218" t="str">
        <f>MID(Tabla1[[#This Row],[ENLACE]],FIND("~",SUBSTITUTE(Tabla1[[#This Row],[ENLACE]],"/","~",2))+1,LEN(Tabla1[[#This Row],[ENLACE]]))</f>
        <v>bristol-city-fc</v>
      </c>
      <c r="B218" s="2" t="s">
        <v>211</v>
      </c>
      <c r="C218" t="str">
        <f>_xlfn.TEXTBEFORE(_xlfn.TEXTAFTER(Tabla1[[#This Row],[ENLACE]],"/",1),"/")</f>
        <v>england</v>
      </c>
      <c r="D218" t="s">
        <v>612</v>
      </c>
      <c r="E218" s="8" t="str">
        <f ca="1">IF(VLOOKUP(Tabla1[[#This Row],[PAIS]],$H$2:$I$34,2)="x","SI","NO")</f>
        <v>NO</v>
      </c>
    </row>
    <row r="219" spans="1:5" x14ac:dyDescent="0.3">
      <c r="A219" t="str">
        <f>MID(Tabla1[[#This Row],[ENLACE]],FIND("~",SUBSTITUTE(Tabla1[[#This Row],[ENLACE]],"/","~",2))+1,LEN(Tabla1[[#This Row],[ENLACE]]))</f>
        <v>charlton-athletic-fc</v>
      </c>
      <c r="B219" s="5" t="s">
        <v>212</v>
      </c>
      <c r="C219" t="str">
        <f>_xlfn.TEXTBEFORE(_xlfn.TEXTAFTER(Tabla1[[#This Row],[ENLACE]],"/",1),"/")</f>
        <v>england</v>
      </c>
      <c r="D219" t="s">
        <v>612</v>
      </c>
      <c r="E219" s="8" t="str">
        <f ca="1">IF(VLOOKUP(Tabla1[[#This Row],[PAIS]],$H$2:$I$34,2)="x","SI","NO")</f>
        <v>NO</v>
      </c>
    </row>
    <row r="220" spans="1:5" x14ac:dyDescent="0.3">
      <c r="A220" t="str">
        <f>MID(Tabla1[[#This Row],[ENLACE]],FIND("~",SUBSTITUTE(Tabla1[[#This Row],[ENLACE]],"/","~",2))+1,LEN(Tabla1[[#This Row],[ENLACE]]))</f>
        <v>coventry-city-fc</v>
      </c>
      <c r="B220" s="2" t="s">
        <v>213</v>
      </c>
      <c r="C220" t="str">
        <f>_xlfn.TEXTBEFORE(_xlfn.TEXTAFTER(Tabla1[[#This Row],[ENLACE]],"/",1),"/")</f>
        <v>england</v>
      </c>
      <c r="D220" t="s">
        <v>612</v>
      </c>
      <c r="E220" s="8" t="str">
        <f ca="1">IF(VLOOKUP(Tabla1[[#This Row],[PAIS]],$H$2:$I$34,2)="x","SI","NO")</f>
        <v>NO</v>
      </c>
    </row>
    <row r="221" spans="1:5" x14ac:dyDescent="0.3">
      <c r="A221" t="str">
        <f>MID(Tabla1[[#This Row],[ENLACE]],FIND("~",SUBSTITUTE(Tabla1[[#This Row],[ENLACE]],"/","~",2))+1,LEN(Tabla1[[#This Row],[ENLACE]]))</f>
        <v>derby-county-fc</v>
      </c>
      <c r="B221" s="5" t="s">
        <v>214</v>
      </c>
      <c r="C221" t="str">
        <f>_xlfn.TEXTBEFORE(_xlfn.TEXTAFTER(Tabla1[[#This Row],[ENLACE]],"/",1),"/")</f>
        <v>england</v>
      </c>
      <c r="D221" t="s">
        <v>612</v>
      </c>
      <c r="E221" s="8" t="str">
        <f ca="1">IF(VLOOKUP(Tabla1[[#This Row],[PAIS]],$H$2:$I$34,2)="x","SI","NO")</f>
        <v>NO</v>
      </c>
    </row>
    <row r="222" spans="1:5" x14ac:dyDescent="0.3">
      <c r="A222" t="str">
        <f>MID(Tabla1[[#This Row],[ENLACE]],FIND("~",SUBSTITUTE(Tabla1[[#This Row],[ENLACE]],"/","~",2))+1,LEN(Tabla1[[#This Row],[ENLACE]]))</f>
        <v>hull-city-fc</v>
      </c>
      <c r="B222" s="2" t="s">
        <v>215</v>
      </c>
      <c r="C222" t="str">
        <f>_xlfn.TEXTBEFORE(_xlfn.TEXTAFTER(Tabla1[[#This Row],[ENLACE]],"/",1),"/")</f>
        <v>england</v>
      </c>
      <c r="D222" t="s">
        <v>612</v>
      </c>
      <c r="E222" s="8" t="str">
        <f ca="1">IF(VLOOKUP(Tabla1[[#This Row],[PAIS]],$H$2:$I$34,2)="x","SI","NO")</f>
        <v>NO</v>
      </c>
    </row>
    <row r="223" spans="1:5" x14ac:dyDescent="0.3">
      <c r="A223" t="str">
        <f>MID(Tabla1[[#This Row],[ENLACE]],FIND("~",SUBSTITUTE(Tabla1[[#This Row],[ENLACE]],"/","~",2))+1,LEN(Tabla1[[#This Row],[ENLACE]]))</f>
        <v>ipswich-town-fc</v>
      </c>
      <c r="B223" s="5" t="s">
        <v>216</v>
      </c>
      <c r="C223" t="str">
        <f>_xlfn.TEXTBEFORE(_xlfn.TEXTAFTER(Tabla1[[#This Row],[ENLACE]],"/",1),"/")</f>
        <v>england</v>
      </c>
      <c r="D223" t="s">
        <v>612</v>
      </c>
      <c r="E223" s="8" t="str">
        <f ca="1">IF(VLOOKUP(Tabla1[[#This Row],[PAIS]],$H$2:$I$34,2)="x","SI","NO")</f>
        <v>NO</v>
      </c>
    </row>
    <row r="224" spans="1:5" x14ac:dyDescent="0.3">
      <c r="A224" t="str">
        <f>MID(Tabla1[[#This Row],[ENLACE]],FIND("~",SUBSTITUTE(Tabla1[[#This Row],[ENLACE]],"/","~",2))+1,LEN(Tabla1[[#This Row],[ENLACE]]))</f>
        <v>leicester-city-fc</v>
      </c>
      <c r="B224" s="2" t="s">
        <v>217</v>
      </c>
      <c r="C224" t="str">
        <f>_xlfn.TEXTBEFORE(_xlfn.TEXTAFTER(Tabla1[[#This Row],[ENLACE]],"/",1),"/")</f>
        <v>england</v>
      </c>
      <c r="D224" t="s">
        <v>612</v>
      </c>
      <c r="E224" s="8" t="str">
        <f ca="1">IF(VLOOKUP(Tabla1[[#This Row],[PAIS]],$H$2:$I$34,2)="x","SI","NO")</f>
        <v>NO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218</v>
      </c>
      <c r="C225" t="str">
        <f>_xlfn.TEXTBEFORE(_xlfn.TEXTAFTER(Tabla1[[#This Row],[ENLACE]],"/",1),"/")</f>
        <v>england</v>
      </c>
      <c r="D225" t="s">
        <v>612</v>
      </c>
      <c r="E225" s="8" t="str">
        <f ca="1">IF(VLOOKUP(Tabla1[[#This Row],[PAIS]],$H$2:$I$34,2)="x","SI","NO")</f>
        <v>NO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219</v>
      </c>
      <c r="C226" t="str">
        <f>_xlfn.TEXTBEFORE(_xlfn.TEXTAFTER(Tabla1[[#This Row],[ENLACE]],"/",1),"/")</f>
        <v>england</v>
      </c>
      <c r="D226" t="s">
        <v>612</v>
      </c>
      <c r="E226" s="8" t="str">
        <f ca="1">IF(VLOOKUP(Tabla1[[#This Row],[PAIS]],$H$2:$I$34,2)="x","SI","NO")</f>
        <v>NO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220</v>
      </c>
      <c r="C227" t="str">
        <f>_xlfn.TEXTBEFORE(_xlfn.TEXTAFTER(Tabla1[[#This Row],[ENLACE]],"/",1),"/")</f>
        <v>england</v>
      </c>
      <c r="D227" t="s">
        <v>612</v>
      </c>
      <c r="E227" s="8" t="str">
        <f ca="1">IF(VLOOKUP(Tabla1[[#This Row],[PAIS]],$H$2:$I$34,2)="x","SI","NO")</f>
        <v>NO</v>
      </c>
    </row>
    <row r="228" spans="1:5" x14ac:dyDescent="0.3">
      <c r="A228" t="str">
        <f>MID(Tabla1[[#This Row],[ENLACE]],FIND("~",SUBSTITUTE(Tabla1[[#This Row],[ENLACE]],"/","~",2))+1,LEN(Tabla1[[#This Row],[ENLACE]]))</f>
        <v>oxford-united-fc</v>
      </c>
      <c r="B228" s="2" t="s">
        <v>221</v>
      </c>
      <c r="C228" t="str">
        <f>_xlfn.TEXTBEFORE(_xlfn.TEXTAFTER(Tabla1[[#This Row],[ENLACE]],"/",1),"/")</f>
        <v>england</v>
      </c>
      <c r="D228" t="s">
        <v>612</v>
      </c>
      <c r="E228" s="8" t="str">
        <f ca="1">IF(VLOOKUP(Tabla1[[#This Row],[PAIS]],$H$2:$I$34,2)="x","SI","NO")</f>
        <v>NO</v>
      </c>
    </row>
    <row r="229" spans="1:5" x14ac:dyDescent="0.3">
      <c r="A229" t="str">
        <f>MID(Tabla1[[#This Row],[ENLACE]],FIND("~",SUBSTITUTE(Tabla1[[#This Row],[ENLACE]],"/","~",2))+1,LEN(Tabla1[[#This Row],[ENLACE]]))</f>
        <v>portsmouth-fc</v>
      </c>
      <c r="B229" s="5" t="s">
        <v>222</v>
      </c>
      <c r="C229" t="str">
        <f>_xlfn.TEXTBEFORE(_xlfn.TEXTAFTER(Tabla1[[#This Row],[ENLACE]],"/",1),"/")</f>
        <v>england</v>
      </c>
      <c r="D229" t="s">
        <v>612</v>
      </c>
      <c r="E229" s="8" t="str">
        <f ca="1">IF(VLOOKUP(Tabla1[[#This Row],[PAIS]],$H$2:$I$34,2)="x","SI","NO")</f>
        <v>NO</v>
      </c>
    </row>
    <row r="230" spans="1:5" x14ac:dyDescent="0.3">
      <c r="A230" t="str">
        <f>MID(Tabla1[[#This Row],[ENLACE]],FIND("~",SUBSTITUTE(Tabla1[[#This Row],[ENLACE]],"/","~",2))+1,LEN(Tabla1[[#This Row],[ENLACE]]))</f>
        <v>preston-north-end-fc</v>
      </c>
      <c r="B230" s="2" t="s">
        <v>223</v>
      </c>
      <c r="C230" t="str">
        <f>_xlfn.TEXTBEFORE(_xlfn.TEXTAFTER(Tabla1[[#This Row],[ENLACE]],"/",1),"/")</f>
        <v>england</v>
      </c>
      <c r="D230" t="s">
        <v>612</v>
      </c>
      <c r="E230" s="8" t="str">
        <f ca="1">IF(VLOOKUP(Tabla1[[#This Row],[PAIS]],$H$2:$I$34,2)="x","SI","NO")</f>
        <v>NO</v>
      </c>
    </row>
    <row r="231" spans="1:5" x14ac:dyDescent="0.3">
      <c r="A231" t="str">
        <f>MID(Tabla1[[#This Row],[ENLACE]],FIND("~",SUBSTITUTE(Tabla1[[#This Row],[ENLACE]],"/","~",2))+1,LEN(Tabla1[[#This Row],[ENLACE]]))</f>
        <v>queens-park-rangers-fc</v>
      </c>
      <c r="B231" s="5" t="s">
        <v>224</v>
      </c>
      <c r="C231" t="str">
        <f>_xlfn.TEXTBEFORE(_xlfn.TEXTAFTER(Tabla1[[#This Row],[ENLACE]],"/",1),"/")</f>
        <v>england</v>
      </c>
      <c r="D231" t="s">
        <v>612</v>
      </c>
      <c r="E231" s="8" t="str">
        <f ca="1">IF(VLOOKUP(Tabla1[[#This Row],[PAIS]],$H$2:$I$34,2)="x","SI","NO")</f>
        <v>NO</v>
      </c>
    </row>
    <row r="232" spans="1:5" x14ac:dyDescent="0.3">
      <c r="A232" t="str">
        <f>MID(Tabla1[[#This Row],[ENLACE]],FIND("~",SUBSTITUTE(Tabla1[[#This Row],[ENLACE]],"/","~",2))+1,LEN(Tabla1[[#This Row],[ENLACE]]))</f>
        <v>sheffield-united-fc</v>
      </c>
      <c r="B232" s="2" t="s">
        <v>225</v>
      </c>
      <c r="C232" t="str">
        <f>_xlfn.TEXTBEFORE(_xlfn.TEXTAFTER(Tabla1[[#This Row],[ENLACE]],"/",1),"/")</f>
        <v>england</v>
      </c>
      <c r="D232" t="s">
        <v>612</v>
      </c>
      <c r="E232" s="8" t="str">
        <f ca="1">IF(VLOOKUP(Tabla1[[#This Row],[PAIS]],$H$2:$I$34,2)="x","SI","NO")</f>
        <v>NO</v>
      </c>
    </row>
    <row r="233" spans="1:5" x14ac:dyDescent="0.3">
      <c r="A233" t="str">
        <f>MID(Tabla1[[#This Row],[ENLACE]],FIND("~",SUBSTITUTE(Tabla1[[#This Row],[ENLACE]],"/","~",2))+1,LEN(Tabla1[[#This Row],[ENLACE]]))</f>
        <v>sheffield-wednesday-fc</v>
      </c>
      <c r="B233" s="5" t="s">
        <v>226</v>
      </c>
      <c r="C233" t="str">
        <f>_xlfn.TEXTBEFORE(_xlfn.TEXTAFTER(Tabla1[[#This Row],[ENLACE]],"/",1),"/")</f>
        <v>england</v>
      </c>
      <c r="D233" t="s">
        <v>612</v>
      </c>
      <c r="E233" s="8" t="str">
        <f ca="1">IF(VLOOKUP(Tabla1[[#This Row],[PAIS]],$H$2:$I$34,2)="x","SI","NO")</f>
        <v>NO</v>
      </c>
    </row>
    <row r="234" spans="1:5" x14ac:dyDescent="0.3">
      <c r="A234" t="str">
        <f>MID(Tabla1[[#This Row],[ENLACE]],FIND("~",SUBSTITUTE(Tabla1[[#This Row],[ENLACE]],"/","~",2))+1,LEN(Tabla1[[#This Row],[ENLACE]]))</f>
        <v>southampton-fc</v>
      </c>
      <c r="B234" s="2" t="s">
        <v>227</v>
      </c>
      <c r="C234" t="str">
        <f>_xlfn.TEXTBEFORE(_xlfn.TEXTAFTER(Tabla1[[#This Row],[ENLACE]],"/",1),"/")</f>
        <v>england</v>
      </c>
      <c r="D234" t="s">
        <v>612</v>
      </c>
      <c r="E234" s="8" t="str">
        <f ca="1">IF(VLOOKUP(Tabla1[[#This Row],[PAIS]],$H$2:$I$34,2)="x","SI","NO")</f>
        <v>NO</v>
      </c>
    </row>
    <row r="235" spans="1:5" x14ac:dyDescent="0.3">
      <c r="A235" t="str">
        <f>MID(Tabla1[[#This Row],[ENLACE]],FIND("~",SUBSTITUTE(Tabla1[[#This Row],[ENLACE]],"/","~",2))+1,LEN(Tabla1[[#This Row],[ENLACE]]))</f>
        <v>stoke-city-fc</v>
      </c>
      <c r="B235" s="5" t="s">
        <v>228</v>
      </c>
      <c r="C235" t="str">
        <f>_xlfn.TEXTBEFORE(_xlfn.TEXTAFTER(Tabla1[[#This Row],[ENLACE]],"/",1),"/")</f>
        <v>england</v>
      </c>
      <c r="D235" t="s">
        <v>612</v>
      </c>
      <c r="E235" s="8" t="str">
        <f ca="1">IF(VLOOKUP(Tabla1[[#This Row],[PAIS]],$H$2:$I$34,2)="x","SI","NO")</f>
        <v>NO</v>
      </c>
    </row>
    <row r="236" spans="1:5" x14ac:dyDescent="0.3">
      <c r="A236" t="str">
        <f>MID(Tabla1[[#This Row],[ENLACE]],FIND("~",SUBSTITUTE(Tabla1[[#This Row],[ENLACE]],"/","~",2))+1,LEN(Tabla1[[#This Row],[ENLACE]]))</f>
        <v>swansea-city-afc</v>
      </c>
      <c r="B236" s="2" t="s">
        <v>229</v>
      </c>
      <c r="C236" t="str">
        <f>_xlfn.TEXTBEFORE(_xlfn.TEXTAFTER(Tabla1[[#This Row],[ENLACE]],"/",1),"/")</f>
        <v>england</v>
      </c>
      <c r="D236" t="s">
        <v>612</v>
      </c>
      <c r="E236" s="8" t="str">
        <f ca="1">IF(VLOOKUP(Tabla1[[#This Row],[PAIS]],$H$2:$I$34,2)="x","SI","NO")</f>
        <v>NO</v>
      </c>
    </row>
    <row r="237" spans="1:5" x14ac:dyDescent="0.3">
      <c r="A237" t="str">
        <f>MID(Tabla1[[#This Row],[ENLACE]],FIND("~",SUBSTITUTE(Tabla1[[#This Row],[ENLACE]],"/","~",2))+1,LEN(Tabla1[[#This Row],[ENLACE]]))</f>
        <v>watford-fc</v>
      </c>
      <c r="B237" s="5" t="s">
        <v>230</v>
      </c>
      <c r="C237" t="str">
        <f>_xlfn.TEXTBEFORE(_xlfn.TEXTAFTER(Tabla1[[#This Row],[ENLACE]],"/",1),"/")</f>
        <v>england</v>
      </c>
      <c r="D237" t="s">
        <v>612</v>
      </c>
      <c r="E237" s="8" t="str">
        <f ca="1">IF(VLOOKUP(Tabla1[[#This Row],[PAIS]],$H$2:$I$34,2)="x","SI","NO")</f>
        <v>NO</v>
      </c>
    </row>
    <row r="238" spans="1:5" x14ac:dyDescent="0.3">
      <c r="A238" t="str">
        <f>MID(Tabla1[[#This Row],[ENLACE]],FIND("~",SUBSTITUTE(Tabla1[[#This Row],[ENLACE]],"/","~",2))+1,LEN(Tabla1[[#This Row],[ENLACE]]))</f>
        <v>west-bromwich-albion-fc</v>
      </c>
      <c r="B238" s="2" t="s">
        <v>231</v>
      </c>
      <c r="C238" t="str">
        <f>_xlfn.TEXTBEFORE(_xlfn.TEXTAFTER(Tabla1[[#This Row],[ENLACE]],"/",1),"/")</f>
        <v>england</v>
      </c>
      <c r="D238" t="s">
        <v>612</v>
      </c>
      <c r="E238" s="8" t="str">
        <f ca="1">IF(VLOOKUP(Tabla1[[#This Row],[PAIS]],$H$2:$I$34,2)="x","SI","NO")</f>
        <v>NO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232</v>
      </c>
      <c r="C239" t="str">
        <f>_xlfn.TEXTBEFORE(_xlfn.TEXTAFTER(Tabla1[[#This Row],[ENLACE]],"/",1),"/")</f>
        <v>england</v>
      </c>
      <c r="D239" t="s">
        <v>612</v>
      </c>
      <c r="E239" s="8" t="str">
        <f ca="1">IF(VLOOKUP(Tabla1[[#This Row],[PAIS]],$H$2:$I$34,2)="x","SI","NO")</f>
        <v>NO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548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549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550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551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552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553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609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554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555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556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610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557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233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NO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234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NO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235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NO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236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NO</v>
      </c>
    </row>
    <row r="256" spans="1:5" x14ac:dyDescent="0.3">
      <c r="A256" t="str">
        <f>MID(Tabla1[[#This Row],[ENLACE]],FIND("~",SUBSTITUTE(Tabla1[[#This Row],[ENLACE]],"/","~",2))+1,LEN(Tabla1[[#This Row],[ENLACE]]))</f>
        <v>rc-lens</v>
      </c>
      <c r="B256" s="2" t="s">
        <v>237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NO</v>
      </c>
    </row>
    <row r="257" spans="1:5" x14ac:dyDescent="0.3">
      <c r="A257" t="str">
        <f>MID(Tabla1[[#This Row],[ENLACE]],FIND("~",SUBSTITUTE(Tabla1[[#This Row],[ENLACE]],"/","~",2))+1,LEN(Tabla1[[#This Row],[ENLACE]]))</f>
        <v>lille-osc</v>
      </c>
      <c r="B257" s="5" t="s">
        <v>238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NO</v>
      </c>
    </row>
    <row r="258" spans="1:5" x14ac:dyDescent="0.3">
      <c r="A258" t="str">
        <f>MID(Tabla1[[#This Row],[ENLACE]],FIND("~",SUBSTITUTE(Tabla1[[#This Row],[ENLACE]],"/","~",2))+1,LEN(Tabla1[[#This Row],[ENLACE]]))</f>
        <v>fc-lorient</v>
      </c>
      <c r="B258" s="2" t="s">
        <v>499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NO</v>
      </c>
    </row>
    <row r="259" spans="1:5" x14ac:dyDescent="0.3">
      <c r="A259" t="str">
        <f>MID(Tabla1[[#This Row],[ENLACE]],FIND("~",SUBSTITUTE(Tabla1[[#This Row],[ENLACE]],"/","~",2))+1,LEN(Tabla1[[#This Row],[ENLACE]]))</f>
        <v>olympique-lyonnais</v>
      </c>
      <c r="B259" s="5" t="s">
        <v>239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NO</v>
      </c>
    </row>
    <row r="260" spans="1:5" x14ac:dyDescent="0.3">
      <c r="A260" t="str">
        <f>MID(Tabla1[[#This Row],[ENLACE]],FIND("~",SUBSTITUTE(Tabla1[[#This Row],[ENLACE]],"/","~",2))+1,LEN(Tabla1[[#This Row],[ENLACE]]))</f>
        <v>olympique-de-marseille</v>
      </c>
      <c r="B260" s="2" t="s">
        <v>240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NO</v>
      </c>
    </row>
    <row r="261" spans="1:5" x14ac:dyDescent="0.3">
      <c r="A261" t="str">
        <f>MID(Tabla1[[#This Row],[ENLACE]],FIND("~",SUBSTITUTE(Tabla1[[#This Row],[ENLACE]],"/","~",2))+1,LEN(Tabla1[[#This Row],[ENLACE]]))</f>
        <v>fc-metz</v>
      </c>
      <c r="B261" s="5" t="s">
        <v>500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NO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241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NO</v>
      </c>
    </row>
    <row r="263" spans="1:5" x14ac:dyDescent="0.3">
      <c r="A263" t="str">
        <f>MID(Tabla1[[#This Row],[ENLACE]],FIND("~",SUBSTITUTE(Tabla1[[#This Row],[ENLACE]],"/","~",2))+1,LEN(Tabla1[[#This Row],[ENLACE]]))</f>
        <v>fc-nantes</v>
      </c>
      <c r="B263" s="5" t="s">
        <v>242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NO</v>
      </c>
    </row>
    <row r="264" spans="1:5" x14ac:dyDescent="0.3">
      <c r="A264" t="str">
        <f>MID(Tabla1[[#This Row],[ENLACE]],FIND("~",SUBSTITUTE(Tabla1[[#This Row],[ENLACE]],"/","~",2))+1,LEN(Tabla1[[#This Row],[ENLACE]]))</f>
        <v>ogc-nice</v>
      </c>
      <c r="B264" s="2" t="s">
        <v>243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NO</v>
      </c>
    </row>
    <row r="265" spans="1:5" x14ac:dyDescent="0.3">
      <c r="A265" t="str">
        <f>MID(Tabla1[[#This Row],[ENLACE]],FIND("~",SUBSTITUTE(Tabla1[[#This Row],[ENLACE]],"/","~",2))+1,LEN(Tabla1[[#This Row],[ENLACE]]))</f>
        <v>paris-fc</v>
      </c>
      <c r="B265" s="5" t="s">
        <v>501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NO</v>
      </c>
    </row>
    <row r="266" spans="1:5" x14ac:dyDescent="0.3">
      <c r="A266" t="str">
        <f>MID(Tabla1[[#This Row],[ENLACE]],FIND("~",SUBSTITUTE(Tabla1[[#This Row],[ENLACE]],"/","~",2))+1,LEN(Tabla1[[#This Row],[ENLACE]]))</f>
        <v>paris-saint-germain-fc</v>
      </c>
      <c r="B266" s="2" t="s">
        <v>244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NO</v>
      </c>
    </row>
    <row r="267" spans="1:5" x14ac:dyDescent="0.3">
      <c r="A267" t="str">
        <f>MID(Tabla1[[#This Row],[ENLACE]],FIND("~",SUBSTITUTE(Tabla1[[#This Row],[ENLACE]],"/","~",2))+1,LEN(Tabla1[[#This Row],[ENLACE]]))</f>
        <v>stade-rennais-fc</v>
      </c>
      <c r="B267" s="5" t="s">
        <v>245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NO</v>
      </c>
    </row>
    <row r="268" spans="1:5" x14ac:dyDescent="0.3">
      <c r="A268" t="str">
        <f>MID(Tabla1[[#This Row],[ENLACE]],FIND("~",SUBSTITUTE(Tabla1[[#This Row],[ENLACE]],"/","~",2))+1,LEN(Tabla1[[#This Row],[ENLACE]]))</f>
        <v>rc-strasbourg-alsace</v>
      </c>
      <c r="B268" s="2" t="s">
        <v>246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NO</v>
      </c>
    </row>
    <row r="269" spans="1:5" x14ac:dyDescent="0.3">
      <c r="A269" t="str">
        <f>MID(Tabla1[[#This Row],[ENLACE]],FIND("~",SUBSTITUTE(Tabla1[[#This Row],[ENLACE]],"/","~",2))+1,LEN(Tabla1[[#This Row],[ENLACE]]))</f>
        <v>toulouse-fc</v>
      </c>
      <c r="B269" s="5" t="s">
        <v>247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NO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NO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NO</v>
      </c>
    </row>
    <row r="272" spans="1:5" x14ac:dyDescent="0.3">
      <c r="A272" t="str">
        <f>MID(Tabla1[[#This Row],[ENLACE]],FIND("~",SUBSTITUTE(Tabla1[[#This Row],[ENLACE]],"/","~",2))+1,LEN(Tabla1[[#This Row],[ENLACE]]))</f>
        <v>vfl-bochum</v>
      </c>
      <c r="B272" s="2" t="s">
        <v>62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NO</v>
      </c>
    </row>
    <row r="273" spans="1:5" x14ac:dyDescent="0.3">
      <c r="A273" t="str">
        <f>MID(Tabla1[[#This Row],[ENLACE]],FIND("~",SUBSTITUTE(Tabla1[[#This Row],[ENLACE]],"/","~",2))+1,LEN(Tabla1[[#This Row],[ENLACE]]))</f>
        <v>werder-bremen</v>
      </c>
      <c r="B273" s="5" t="s">
        <v>63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NO</v>
      </c>
    </row>
    <row r="274" spans="1:5" x14ac:dyDescent="0.3">
      <c r="A274" t="str">
        <f>MID(Tabla1[[#This Row],[ENLACE]],FIND("~",SUBSTITUTE(Tabla1[[#This Row],[ENLACE]],"/","~",2))+1,LEN(Tabla1[[#This Row],[ENLACE]]))</f>
        <v>borussia-dortmund</v>
      </c>
      <c r="B274" s="2" t="s">
        <v>64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NO</v>
      </c>
    </row>
    <row r="275" spans="1:5" x14ac:dyDescent="0.3">
      <c r="A275" t="str">
        <f>MID(Tabla1[[#This Row],[ENLACE]],FIND("~",SUBSTITUTE(Tabla1[[#This Row],[ENLACE]],"/","~",2))+1,LEN(Tabla1[[#This Row],[ENLACE]]))</f>
        <v>eintracht-frankfurt</v>
      </c>
      <c r="B275" s="5" t="s">
        <v>65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NO</v>
      </c>
    </row>
    <row r="276" spans="1:5" x14ac:dyDescent="0.3">
      <c r="A276" t="str">
        <f>MID(Tabla1[[#This Row],[ENLACE]],FIND("~",SUBSTITUTE(Tabla1[[#This Row],[ENLACE]],"/","~",2))+1,LEN(Tabla1[[#This Row],[ENLACE]]))</f>
        <v>sc-freiburg</v>
      </c>
      <c r="B276" s="2" t="s">
        <v>66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NO</v>
      </c>
    </row>
    <row r="277" spans="1:5" x14ac:dyDescent="0.3">
      <c r="A277" t="str">
        <f>MID(Tabla1[[#This Row],[ENLACE]],FIND("~",SUBSTITUTE(Tabla1[[#This Row],[ENLACE]],"/","~",2))+1,LEN(Tabla1[[#This Row],[ENLACE]]))</f>
        <v>fc-heidenheim</v>
      </c>
      <c r="B277" s="5" t="s">
        <v>67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NO</v>
      </c>
    </row>
    <row r="278" spans="1:5" x14ac:dyDescent="0.3">
      <c r="A278" t="str">
        <f>MID(Tabla1[[#This Row],[ENLACE]],FIND("~",SUBSTITUTE(Tabla1[[#This Row],[ENLACE]],"/","~",2))+1,LEN(Tabla1[[#This Row],[ENLACE]]))</f>
        <v>hoffenheim</v>
      </c>
      <c r="B278" s="2" t="s">
        <v>68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NO</v>
      </c>
    </row>
    <row r="279" spans="1:5" x14ac:dyDescent="0.3">
      <c r="A279" t="str">
        <f>MID(Tabla1[[#This Row],[ENLACE]],FIND("~",SUBSTITUTE(Tabla1[[#This Row],[ENLACE]],"/","~",2))+1,LEN(Tabla1[[#This Row],[ENLACE]]))</f>
        <v>holstein-kiel</v>
      </c>
      <c r="B279" s="5" t="s">
        <v>69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NO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NO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NO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NO</v>
      </c>
    </row>
    <row r="283" spans="1:5" x14ac:dyDescent="0.3">
      <c r="A283" t="str">
        <f>MID(Tabla1[[#This Row],[ENLACE]],FIND("~",SUBSTITUTE(Tabla1[[#This Row],[ENLACE]],"/","~",2))+1,LEN(Tabla1[[#This Row],[ENLACE]]))</f>
        <v>rb-leipzig</v>
      </c>
      <c r="B283" s="5" t="s">
        <v>73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NO</v>
      </c>
    </row>
    <row r="284" spans="1:5" x14ac:dyDescent="0.3">
      <c r="A284" t="str">
        <f>MID(Tabla1[[#This Row],[ENLACE]],FIND("~",SUBSTITUTE(Tabla1[[#This Row],[ENLACE]],"/","~",2))+1,LEN(Tabla1[[#This Row],[ENLACE]]))</f>
        <v>fc-st-pauli</v>
      </c>
      <c r="B284" s="2" t="s">
        <v>74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NO</v>
      </c>
    </row>
    <row r="285" spans="1:5" x14ac:dyDescent="0.3">
      <c r="A285" t="str">
        <f>MID(Tabla1[[#This Row],[ENLACE]],FIND("~",SUBSTITUTE(Tabla1[[#This Row],[ENLACE]],"/","~",2))+1,LEN(Tabla1[[#This Row],[ENLACE]]))</f>
        <v>vfb-stuttgart</v>
      </c>
      <c r="B285" s="5" t="s">
        <v>75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NO</v>
      </c>
    </row>
    <row r="286" spans="1:5" x14ac:dyDescent="0.3">
      <c r="A286" t="str">
        <f>MID(Tabla1[[#This Row],[ENLACE]],FIND("~",SUBSTITUTE(Tabla1[[#This Row],[ENLACE]],"/","~",2))+1,LEN(Tabla1[[#This Row],[ENLACE]]))</f>
        <v>union-berlin</v>
      </c>
      <c r="B286" s="2" t="s">
        <v>76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NO</v>
      </c>
    </row>
    <row r="287" spans="1:5" x14ac:dyDescent="0.3">
      <c r="A287" t="str">
        <f>MID(Tabla1[[#This Row],[ENLACE]],FIND("~",SUBSTITUTE(Tabla1[[#This Row],[ENLACE]],"/","~",2))+1,LEN(Tabla1[[#This Row],[ENLACE]]))</f>
        <v>vfl-wolfsburg</v>
      </c>
      <c r="B287" s="5" t="s">
        <v>77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NO</v>
      </c>
    </row>
    <row r="288" spans="1:5" x14ac:dyDescent="0.3">
      <c r="A288" t="str">
        <f>MID(Tabla1[[#This Row],[ENLACE]],FIND("~",SUBSTITUTE(Tabla1[[#This Row],[ENLACE]],"/","~",2))+1,LEN(Tabla1[[#This Row],[ENLACE]]))</f>
        <v>fc-augsburg</v>
      </c>
      <c r="B288" s="2" t="s">
        <v>60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NO</v>
      </c>
    </row>
    <row r="289" spans="1:5" x14ac:dyDescent="0.3">
      <c r="A289" t="str">
        <f>MID(Tabla1[[#This Row],[ENLACE]],FIND("~",SUBSTITUTE(Tabla1[[#This Row],[ENLACE]],"/","~",2))+1,LEN(Tabla1[[#This Row],[ENLACE]]))</f>
        <v>bayern-munich</v>
      </c>
      <c r="B289" s="5" t="s">
        <v>61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NO</v>
      </c>
    </row>
    <row r="290" spans="1:5" x14ac:dyDescent="0.3">
      <c r="A290" t="str">
        <f>MID(Tabla1[[#This Row],[ENLACE]],FIND("~",SUBSTITUTE(Tabla1[[#This Row],[ENLACE]],"/","~",2))+1,LEN(Tabla1[[#This Row],[ENLACE]]))</f>
        <v>werder-bremen</v>
      </c>
      <c r="B290" s="2" t="s">
        <v>63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NO</v>
      </c>
    </row>
    <row r="291" spans="1:5" x14ac:dyDescent="0.3">
      <c r="A291" t="str">
        <f>MID(Tabla1[[#This Row],[ENLACE]],FIND("~",SUBSTITUTE(Tabla1[[#This Row],[ENLACE]],"/","~",2))+1,LEN(Tabla1[[#This Row],[ENLACE]]))</f>
        <v>borussia-dortmund</v>
      </c>
      <c r="B291" s="5" t="s">
        <v>64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NO</v>
      </c>
    </row>
    <row r="292" spans="1:5" x14ac:dyDescent="0.3">
      <c r="A292" t="str">
        <f>MID(Tabla1[[#This Row],[ENLACE]],FIND("~",SUBSTITUTE(Tabla1[[#This Row],[ENLACE]],"/","~",2))+1,LEN(Tabla1[[#This Row],[ENLACE]]))</f>
        <v>fc-koln</v>
      </c>
      <c r="B292" s="2" t="s">
        <v>494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NO</v>
      </c>
    </row>
    <row r="293" spans="1:5" x14ac:dyDescent="0.3">
      <c r="A293" t="str">
        <f>MID(Tabla1[[#This Row],[ENLACE]],FIND("~",SUBSTITUTE(Tabla1[[#This Row],[ENLACE]],"/","~",2))+1,LEN(Tabla1[[#This Row],[ENLACE]]))</f>
        <v>eintracht-frankfurt</v>
      </c>
      <c r="B293" s="5" t="s">
        <v>65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NO</v>
      </c>
    </row>
    <row r="294" spans="1:5" x14ac:dyDescent="0.3">
      <c r="A294" t="str">
        <f>MID(Tabla1[[#This Row],[ENLACE]],FIND("~",SUBSTITUTE(Tabla1[[#This Row],[ENLACE]],"/","~",2))+1,LEN(Tabla1[[#This Row],[ENLACE]]))</f>
        <v>sc-freiburg</v>
      </c>
      <c r="B294" s="2" t="s">
        <v>66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NO</v>
      </c>
    </row>
    <row r="295" spans="1:5" x14ac:dyDescent="0.3">
      <c r="A295" t="str">
        <f>MID(Tabla1[[#This Row],[ENLACE]],FIND("~",SUBSTITUTE(Tabla1[[#This Row],[ENLACE]],"/","~",2))+1,LEN(Tabla1[[#This Row],[ENLACE]]))</f>
        <v>hamburger-sv</v>
      </c>
      <c r="B295" s="5" t="s">
        <v>495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NO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NO</v>
      </c>
    </row>
    <row r="297" spans="1:5" x14ac:dyDescent="0.3">
      <c r="A297" t="str">
        <f>MID(Tabla1[[#This Row],[ENLACE]],FIND("~",SUBSTITUTE(Tabla1[[#This Row],[ENLACE]],"/","~",2))+1,LEN(Tabla1[[#This Row],[ENLACE]]))</f>
        <v>hoffenheim</v>
      </c>
      <c r="B297" s="5" t="s">
        <v>68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NO</v>
      </c>
    </row>
    <row r="298" spans="1:5" x14ac:dyDescent="0.3">
      <c r="A298" t="str">
        <f>MID(Tabla1[[#This Row],[ENLACE]],FIND("~",SUBSTITUTE(Tabla1[[#This Row],[ENLACE]],"/","~",2))+1,LEN(Tabla1[[#This Row],[ENLACE]]))</f>
        <v>bayer-leverkusen</v>
      </c>
      <c r="B298" s="2" t="s">
        <v>70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NO</v>
      </c>
    </row>
    <row r="299" spans="1:5" x14ac:dyDescent="0.3">
      <c r="A299" t="str">
        <f>MID(Tabla1[[#This Row],[ENLACE]],FIND("~",SUBSTITUTE(Tabla1[[#This Row],[ENLACE]],"/","~",2))+1,LEN(Tabla1[[#This Row],[ENLACE]]))</f>
        <v>mainz-05</v>
      </c>
      <c r="B299" s="5" t="s">
        <v>71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NO</v>
      </c>
    </row>
    <row r="300" spans="1:5" x14ac:dyDescent="0.3">
      <c r="A300" t="str">
        <f>MID(Tabla1[[#This Row],[ENLACE]],FIND("~",SUBSTITUTE(Tabla1[[#This Row],[ENLACE]],"/","~",2))+1,LEN(Tabla1[[#This Row],[ENLACE]]))</f>
        <v>borussia-monchengladbach</v>
      </c>
      <c r="B300" s="2" t="s">
        <v>72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NO</v>
      </c>
    </row>
    <row r="301" spans="1:5" x14ac:dyDescent="0.3">
      <c r="A301" t="str">
        <f>MID(Tabla1[[#This Row],[ENLACE]],FIND("~",SUBSTITUTE(Tabla1[[#This Row],[ENLACE]],"/","~",2))+1,LEN(Tabla1[[#This Row],[ENLACE]]))</f>
        <v>rb-leipzig</v>
      </c>
      <c r="B301" s="5" t="s">
        <v>73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NO</v>
      </c>
    </row>
    <row r="302" spans="1:5" x14ac:dyDescent="0.3">
      <c r="A302" t="str">
        <f>MID(Tabla1[[#This Row],[ENLACE]],FIND("~",SUBSTITUTE(Tabla1[[#This Row],[ENLACE]],"/","~",2))+1,LEN(Tabla1[[#This Row],[ENLACE]]))</f>
        <v>fc-st-pauli</v>
      </c>
      <c r="B302" s="2" t="s">
        <v>74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NO</v>
      </c>
    </row>
    <row r="303" spans="1:5" x14ac:dyDescent="0.3">
      <c r="A303" t="str">
        <f>MID(Tabla1[[#This Row],[ENLACE]],FIND("~",SUBSTITUTE(Tabla1[[#This Row],[ENLACE]],"/","~",2))+1,LEN(Tabla1[[#This Row],[ENLACE]]))</f>
        <v>vfb-stuttgart</v>
      </c>
      <c r="B303" s="5" t="s">
        <v>75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NO</v>
      </c>
    </row>
    <row r="304" spans="1:5" x14ac:dyDescent="0.3">
      <c r="A304" t="str">
        <f>MID(Tabla1[[#This Row],[ENLACE]],FIND("~",SUBSTITUTE(Tabla1[[#This Row],[ENLACE]],"/","~",2))+1,LEN(Tabla1[[#This Row],[ENLACE]]))</f>
        <v>union-berlin</v>
      </c>
      <c r="B304" s="2" t="s">
        <v>76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NO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NO</v>
      </c>
    </row>
    <row r="306" spans="1:5" x14ac:dyDescent="0.3">
      <c r="A306" t="str">
        <f>MID(Tabla1[[#This Row],[ENLACE]],FIND("~",SUBSTITUTE(Tabla1[[#This Row],[ENLACE]],"/","~",2))+1,LEN(Tabla1[[#This Row],[ENLACE]]))</f>
        <v>arminia-bielefeld</v>
      </c>
      <c r="B306" s="2" t="s">
        <v>248</v>
      </c>
      <c r="C306" t="str">
        <f>_xlfn.TEXTBEFORE(_xlfn.TEXTAFTER(Tabla1[[#This Row],[ENLACE]],"/",1),"/")</f>
        <v>germany</v>
      </c>
      <c r="D306" t="str">
        <f>Tabla1[[#This Row],[PAIS]]</f>
        <v>germany</v>
      </c>
      <c r="E306" s="8" t="str">
        <f ca="1">IF(VLOOKUP(Tabla1[[#This Row],[PAIS]],$H$2:$I$34,2)="x","SI","NO")</f>
        <v>NO</v>
      </c>
    </row>
    <row r="307" spans="1:5" x14ac:dyDescent="0.3">
      <c r="A307" t="str">
        <f>MID(Tabla1[[#This Row],[ENLACE]],FIND("~",SUBSTITUTE(Tabla1[[#This Row],[ENLACE]],"/","~",2))+1,LEN(Tabla1[[#This Row],[ENLACE]]))</f>
        <v>vfl-bochum</v>
      </c>
      <c r="B307" s="5" t="s">
        <v>62</v>
      </c>
      <c r="C307" t="str">
        <f>_xlfn.TEXTBEFORE(_xlfn.TEXTAFTER(Tabla1[[#This Row],[ENLACE]],"/",1),"/")</f>
        <v>germany</v>
      </c>
      <c r="D307" t="str">
        <f>Tabla1[[#This Row],[PAIS]]</f>
        <v>germany</v>
      </c>
      <c r="E307" s="8" t="str">
        <f ca="1">IF(VLOOKUP(Tabla1[[#This Row],[PAIS]],$H$2:$I$34,2)="x","SI","NO")</f>
        <v>NO</v>
      </c>
    </row>
    <row r="308" spans="1:5" x14ac:dyDescent="0.3">
      <c r="A308" t="str">
        <f>MID(Tabla1[[#This Row],[ENLACE]],FIND("~",SUBSTITUTE(Tabla1[[#This Row],[ENLACE]],"/","~",2))+1,LEN(Tabla1[[#This Row],[ENLACE]]))</f>
        <v>eintracht-braunschweig</v>
      </c>
      <c r="B308" s="2" t="s">
        <v>249</v>
      </c>
      <c r="C308" t="str">
        <f>_xlfn.TEXTBEFORE(_xlfn.TEXTAFTER(Tabla1[[#This Row],[ENLACE]],"/",1),"/")</f>
        <v>germany</v>
      </c>
      <c r="D308" t="str">
        <f>Tabla1[[#This Row],[PAIS]]</f>
        <v>germany</v>
      </c>
      <c r="E308" s="8" t="str">
        <f ca="1">IF(VLOOKUP(Tabla1[[#This Row],[PAIS]],$H$2:$I$34,2)="x","SI","NO")</f>
        <v>NO</v>
      </c>
    </row>
    <row r="309" spans="1:5" x14ac:dyDescent="0.3">
      <c r="A309" t="str">
        <f>MID(Tabla1[[#This Row],[ENLACE]],FIND("~",SUBSTITUTE(Tabla1[[#This Row],[ENLACE]],"/","~",2))+1,LEN(Tabla1[[#This Row],[ENLACE]]))</f>
        <v>darmstadt-98</v>
      </c>
      <c r="B309" s="5" t="s">
        <v>250</v>
      </c>
      <c r="C309" t="str">
        <f>_xlfn.TEXTBEFORE(_xlfn.TEXTAFTER(Tabla1[[#This Row],[ENLACE]],"/",1),"/")</f>
        <v>germany</v>
      </c>
      <c r="D309" t="str">
        <f>Tabla1[[#This Row],[PAIS]]</f>
        <v>germany</v>
      </c>
      <c r="E309" s="8" t="str">
        <f ca="1">IF(VLOOKUP(Tabla1[[#This Row],[PAIS]],$H$2:$I$34,2)="x","SI","NO")</f>
        <v>NO</v>
      </c>
    </row>
    <row r="310" spans="1:5" x14ac:dyDescent="0.3">
      <c r="A310" t="str">
        <f>MID(Tabla1[[#This Row],[ENLACE]],FIND("~",SUBSTITUTE(Tabla1[[#This Row],[ENLACE]],"/","~",2))+1,LEN(Tabla1[[#This Row],[ENLACE]]))</f>
        <v>dynamo-dresden</v>
      </c>
      <c r="B310" s="2" t="s">
        <v>251</v>
      </c>
      <c r="C310" t="str">
        <f>_xlfn.TEXTBEFORE(_xlfn.TEXTAFTER(Tabla1[[#This Row],[ENLACE]],"/",1),"/")</f>
        <v>germany</v>
      </c>
      <c r="D310" t="str">
        <f>Tabla1[[#This Row],[PAIS]]</f>
        <v>germany</v>
      </c>
      <c r="E310" s="8" t="str">
        <f ca="1">IF(VLOOKUP(Tabla1[[#This Row],[PAIS]],$H$2:$I$34,2)="x","SI","NO")</f>
        <v>NO</v>
      </c>
    </row>
    <row r="311" spans="1:5" x14ac:dyDescent="0.3">
      <c r="A311" t="str">
        <f>MID(Tabla1[[#This Row],[ENLACE]],FIND("~",SUBSTITUTE(Tabla1[[#This Row],[ENLACE]],"/","~",2))+1,LEN(Tabla1[[#This Row],[ENLACE]]))</f>
        <v>fortuna-dusseldorf</v>
      </c>
      <c r="B311" s="5" t="s">
        <v>252</v>
      </c>
      <c r="C311" t="str">
        <f>_xlfn.TEXTBEFORE(_xlfn.TEXTAFTER(Tabla1[[#This Row],[ENLACE]],"/",1),"/")</f>
        <v>germany</v>
      </c>
      <c r="D311" t="str">
        <f>Tabla1[[#This Row],[PAIS]]</f>
        <v>germany</v>
      </c>
      <c r="E311" s="8" t="str">
        <f ca="1">IF(VLOOKUP(Tabla1[[#This Row],[PAIS]],$H$2:$I$34,2)="x","SI","NO")</f>
        <v>NO</v>
      </c>
    </row>
    <row r="312" spans="1:5" x14ac:dyDescent="0.3">
      <c r="A312" t="str">
        <f>MID(Tabla1[[#This Row],[ENLACE]],FIND("~",SUBSTITUTE(Tabla1[[#This Row],[ENLACE]],"/","~",2))+1,LEN(Tabla1[[#This Row],[ENLACE]]))</f>
        <v>sv-elversberg</v>
      </c>
      <c r="B312" s="2" t="s">
        <v>253</v>
      </c>
      <c r="C312" t="str">
        <f>_xlfn.TEXTBEFORE(_xlfn.TEXTAFTER(Tabla1[[#This Row],[ENLACE]],"/",1),"/")</f>
        <v>germany</v>
      </c>
      <c r="D312" t="str">
        <f>Tabla1[[#This Row],[PAIS]]</f>
        <v>germany</v>
      </c>
      <c r="E312" s="8" t="str">
        <f ca="1">IF(VLOOKUP(Tabla1[[#This Row],[PAIS]],$H$2:$I$34,2)="x","SI","NO")</f>
        <v>NO</v>
      </c>
    </row>
    <row r="313" spans="1:5" x14ac:dyDescent="0.3">
      <c r="A313" t="str">
        <f>MID(Tabla1[[#This Row],[ENLACE]],FIND("~",SUBSTITUTE(Tabla1[[#This Row],[ENLACE]],"/","~",2))+1,LEN(Tabla1[[#This Row],[ENLACE]]))</f>
        <v>greuther-furth</v>
      </c>
      <c r="B313" s="5" t="s">
        <v>254</v>
      </c>
      <c r="C313" t="str">
        <f>_xlfn.TEXTBEFORE(_xlfn.TEXTAFTER(Tabla1[[#This Row],[ENLACE]],"/",1),"/")</f>
        <v>germany</v>
      </c>
      <c r="D313" t="str">
        <f>Tabla1[[#This Row],[PAIS]]</f>
        <v>germany</v>
      </c>
      <c r="E313" s="8" t="str">
        <f ca="1">IF(VLOOKUP(Tabla1[[#This Row],[PAIS]],$H$2:$I$34,2)="x","SI","NO")</f>
        <v>NO</v>
      </c>
    </row>
    <row r="314" spans="1:5" x14ac:dyDescent="0.3">
      <c r="A314" t="str">
        <f>MID(Tabla1[[#This Row],[ENLACE]],FIND("~",SUBSTITUTE(Tabla1[[#This Row],[ENLACE]],"/","~",2))+1,LEN(Tabla1[[#This Row],[ENLACE]]))</f>
        <v>hannover-96</v>
      </c>
      <c r="B314" s="2" t="s">
        <v>255</v>
      </c>
      <c r="C314" t="str">
        <f>_xlfn.TEXTBEFORE(_xlfn.TEXTAFTER(Tabla1[[#This Row],[ENLACE]],"/",1),"/")</f>
        <v>germany</v>
      </c>
      <c r="D314" t="str">
        <f>Tabla1[[#This Row],[PAIS]]</f>
        <v>germany</v>
      </c>
      <c r="E314" s="8" t="str">
        <f ca="1">IF(VLOOKUP(Tabla1[[#This Row],[PAIS]],$H$2:$I$34,2)="x","SI","NO")</f>
        <v>NO</v>
      </c>
    </row>
    <row r="315" spans="1:5" x14ac:dyDescent="0.3">
      <c r="A315" t="str">
        <f>MID(Tabla1[[#This Row],[ENLACE]],FIND("~",SUBSTITUTE(Tabla1[[#This Row],[ENLACE]],"/","~",2))+1,LEN(Tabla1[[#This Row],[ENLACE]]))</f>
        <v>hertha-berlin</v>
      </c>
      <c r="B315" s="5" t="s">
        <v>256</v>
      </c>
      <c r="C315" t="str">
        <f>_xlfn.TEXTBEFORE(_xlfn.TEXTAFTER(Tabla1[[#This Row],[ENLACE]],"/",1),"/")</f>
        <v>germany</v>
      </c>
      <c r="D315" t="str">
        <f>Tabla1[[#This Row],[PAIS]]</f>
        <v>germany</v>
      </c>
      <c r="E315" s="8" t="str">
        <f ca="1">IF(VLOOKUP(Tabla1[[#This Row],[PAIS]],$H$2:$I$34,2)="x","SI","NO")</f>
        <v>NO</v>
      </c>
    </row>
    <row r="316" spans="1:5" x14ac:dyDescent="0.3">
      <c r="A316" t="str">
        <f>MID(Tabla1[[#This Row],[ENLACE]],FIND("~",SUBSTITUTE(Tabla1[[#This Row],[ENLACE]],"/","~",2))+1,LEN(Tabla1[[#This Row],[ENLACE]]))</f>
        <v>fc-kaiserslautern</v>
      </c>
      <c r="B316" s="2" t="s">
        <v>257</v>
      </c>
      <c r="C316" t="str">
        <f>_xlfn.TEXTBEFORE(_xlfn.TEXTAFTER(Tabla1[[#This Row],[ENLACE]],"/",1),"/")</f>
        <v>germany</v>
      </c>
      <c r="D316" t="str">
        <f>Tabla1[[#This Row],[PAIS]]</f>
        <v>germany</v>
      </c>
      <c r="E316" s="8" t="str">
        <f ca="1">IF(VLOOKUP(Tabla1[[#This Row],[PAIS]],$H$2:$I$34,2)="x","SI","NO")</f>
        <v>NO</v>
      </c>
    </row>
    <row r="317" spans="1:5" x14ac:dyDescent="0.3">
      <c r="A317" t="str">
        <f>MID(Tabla1[[#This Row],[ENLACE]],FIND("~",SUBSTITUTE(Tabla1[[#This Row],[ENLACE]],"/","~",2))+1,LEN(Tabla1[[#This Row],[ENLACE]]))</f>
        <v>karlsruher-sc</v>
      </c>
      <c r="B317" s="5" t="s">
        <v>258</v>
      </c>
      <c r="C317" t="str">
        <f>_xlfn.TEXTBEFORE(_xlfn.TEXTAFTER(Tabla1[[#This Row],[ENLACE]],"/",1),"/")</f>
        <v>germany</v>
      </c>
      <c r="D317" t="str">
        <f>Tabla1[[#This Row],[PAIS]]</f>
        <v>germany</v>
      </c>
      <c r="E317" s="8" t="str">
        <f ca="1">IF(VLOOKUP(Tabla1[[#This Row],[PAIS]],$H$2:$I$34,2)="x","SI","NO")</f>
        <v>NO</v>
      </c>
    </row>
    <row r="318" spans="1:5" x14ac:dyDescent="0.3">
      <c r="A318" t="str">
        <f>MID(Tabla1[[#This Row],[ENLACE]],FIND("~",SUBSTITUTE(Tabla1[[#This Row],[ENLACE]],"/","~",2))+1,LEN(Tabla1[[#This Row],[ENLACE]]))</f>
        <v>holstein-kiel</v>
      </c>
      <c r="B318" s="2" t="s">
        <v>69</v>
      </c>
      <c r="C318" t="str">
        <f>_xlfn.TEXTBEFORE(_xlfn.TEXTAFTER(Tabla1[[#This Row],[ENLACE]],"/",1),"/")</f>
        <v>germany</v>
      </c>
      <c r="D318" t="str">
        <f>Tabla1[[#This Row],[PAIS]]</f>
        <v>germany</v>
      </c>
      <c r="E318" s="8" t="str">
        <f ca="1">IF(VLOOKUP(Tabla1[[#This Row],[PAIS]],$H$2:$I$34,2)="x","SI","NO")</f>
        <v>NO</v>
      </c>
    </row>
    <row r="319" spans="1:5" x14ac:dyDescent="0.3">
      <c r="A319" t="str">
        <f>MID(Tabla1[[#This Row],[ENLACE]],FIND("~",SUBSTITUTE(Tabla1[[#This Row],[ENLACE]],"/","~",2))+1,LEN(Tabla1[[#This Row],[ENLACE]]))</f>
        <v>fc-magdeburg</v>
      </c>
      <c r="B319" s="5" t="s">
        <v>259</v>
      </c>
      <c r="C319" t="str">
        <f>_xlfn.TEXTBEFORE(_xlfn.TEXTAFTER(Tabla1[[#This Row],[ENLACE]],"/",1),"/")</f>
        <v>germany</v>
      </c>
      <c r="D319" t="str">
        <f>Tabla1[[#This Row],[PAIS]]</f>
        <v>germany</v>
      </c>
      <c r="E319" s="8" t="str">
        <f ca="1">IF(VLOOKUP(Tabla1[[#This Row],[PAIS]],$H$2:$I$34,2)="x","SI","NO")</f>
        <v>NO</v>
      </c>
    </row>
    <row r="320" spans="1:5" x14ac:dyDescent="0.3">
      <c r="A320" t="str">
        <f>MID(Tabla1[[#This Row],[ENLACE]],FIND("~",SUBSTITUTE(Tabla1[[#This Row],[ENLACE]],"/","~",2))+1,LEN(Tabla1[[#This Row],[ENLACE]]))</f>
        <v>preussen-munster</v>
      </c>
      <c r="B320" s="2" t="s">
        <v>260</v>
      </c>
      <c r="C320" t="str">
        <f>_xlfn.TEXTBEFORE(_xlfn.TEXTAFTER(Tabla1[[#This Row],[ENLACE]],"/",1),"/")</f>
        <v>germany</v>
      </c>
      <c r="D320" t="str">
        <f>Tabla1[[#This Row],[PAIS]]</f>
        <v>germany</v>
      </c>
      <c r="E320" s="8" t="str">
        <f ca="1">IF(VLOOKUP(Tabla1[[#This Row],[PAIS]],$H$2:$I$34,2)="x","SI","NO")</f>
        <v>NO</v>
      </c>
    </row>
    <row r="321" spans="1:5" x14ac:dyDescent="0.3">
      <c r="A321" t="str">
        <f>MID(Tabla1[[#This Row],[ENLACE]],FIND("~",SUBSTITUTE(Tabla1[[#This Row],[ENLACE]],"/","~",2))+1,LEN(Tabla1[[#This Row],[ENLACE]]))</f>
        <v>fc-nurnberg</v>
      </c>
      <c r="B321" s="5" t="s">
        <v>261</v>
      </c>
      <c r="C321" t="str">
        <f>_xlfn.TEXTBEFORE(_xlfn.TEXTAFTER(Tabla1[[#This Row],[ENLACE]],"/",1),"/")</f>
        <v>germany</v>
      </c>
      <c r="D321" t="str">
        <f>Tabla1[[#This Row],[PAIS]]</f>
        <v>germany</v>
      </c>
      <c r="E321" s="8" t="str">
        <f ca="1">IF(VLOOKUP(Tabla1[[#This Row],[PAIS]],$H$2:$I$34,2)="x","SI","NO")</f>
        <v>NO</v>
      </c>
    </row>
    <row r="322" spans="1:5" x14ac:dyDescent="0.3">
      <c r="A322" t="str">
        <f>MID(Tabla1[[#This Row],[ENLACE]],FIND("~",SUBSTITUTE(Tabla1[[#This Row],[ENLACE]],"/","~",2))+1,LEN(Tabla1[[#This Row],[ENLACE]]))</f>
        <v>sc-paderborn</v>
      </c>
      <c r="B322" s="2" t="s">
        <v>262</v>
      </c>
      <c r="C322" t="str">
        <f>_xlfn.TEXTBEFORE(_xlfn.TEXTAFTER(Tabla1[[#This Row],[ENLACE]],"/",1),"/")</f>
        <v>germany</v>
      </c>
      <c r="D322" t="str">
        <f>Tabla1[[#This Row],[PAIS]]</f>
        <v>germany</v>
      </c>
      <c r="E322" s="8" t="str">
        <f ca="1">IF(VLOOKUP(Tabla1[[#This Row],[PAIS]],$H$2:$I$34,2)="x","SI","NO")</f>
        <v>NO</v>
      </c>
    </row>
    <row r="323" spans="1:5" x14ac:dyDescent="0.3">
      <c r="A323" t="str">
        <f>MID(Tabla1[[#This Row],[ENLACE]],FIND("~",SUBSTITUTE(Tabla1[[#This Row],[ENLACE]],"/","~",2))+1,LEN(Tabla1[[#This Row],[ENLACE]]))</f>
        <v>schalke-04</v>
      </c>
      <c r="B323" s="5" t="s">
        <v>263</v>
      </c>
      <c r="C323" t="str">
        <f>_xlfn.TEXTBEFORE(_xlfn.TEXTAFTER(Tabla1[[#This Row],[ENLACE]],"/",1),"/")</f>
        <v>germany</v>
      </c>
      <c r="D323" t="str">
        <f>Tabla1[[#This Row],[PAIS]]</f>
        <v>germany</v>
      </c>
      <c r="E323" s="8" t="str">
        <f ca="1">IF(VLOOKUP(Tabla1[[#This Row],[PAIS]],$H$2:$I$34,2)="x","SI","NO")</f>
        <v>NO</v>
      </c>
    </row>
    <row r="324" spans="1:5" x14ac:dyDescent="0.3">
      <c r="A324" t="str">
        <f>MID(Tabla1[[#This Row],[ENLACE]],FIND("~",SUBSTITUTE(Tabla1[[#This Row],[ENLACE]],"/","~",2))+1,LEN(Tabla1[[#This Row],[ENLACE]]))</f>
        <v>aek-athens-fc</v>
      </c>
      <c r="B324" s="5" t="s">
        <v>505</v>
      </c>
      <c r="C324" t="str">
        <f>_xlfn.TEXTBEFORE(_xlfn.TEXTAFTER(Tabla1[[#This Row],[ENLACE]],"/",1),"/")</f>
        <v>greece</v>
      </c>
      <c r="D324" t="str">
        <f>Tabla1[[#This Row],[PAIS]]</f>
        <v>greece</v>
      </c>
      <c r="E324" s="8" t="str">
        <f ca="1">IF(VLOOKUP(Tabla1[[#This Row],[PAIS]],$H$2:$I$34,2)="x","SI","NO")</f>
        <v>NO</v>
      </c>
    </row>
    <row r="325" spans="1:5" x14ac:dyDescent="0.3">
      <c r="A325" t="str">
        <f>MID(Tabla1[[#This Row],[ENLACE]],FIND("~",SUBSTITUTE(Tabla1[[#This Row],[ENLACE]],"/","~",2))+1,LEN(Tabla1[[#This Row],[ENLACE]]))</f>
        <v>ael-fc</v>
      </c>
      <c r="B325" s="5" t="s">
        <v>506</v>
      </c>
      <c r="C325" t="str">
        <f>_xlfn.TEXTBEFORE(_xlfn.TEXTAFTER(Tabla1[[#This Row],[ENLACE]],"/",1),"/")</f>
        <v>greece</v>
      </c>
      <c r="D325" t="str">
        <f>Tabla1[[#This Row],[PAIS]]</f>
        <v>greece</v>
      </c>
      <c r="E325" s="8" t="str">
        <f ca="1">IF(VLOOKUP(Tabla1[[#This Row],[PAIS]],$H$2:$I$34,2)="x","SI","NO")</f>
        <v>NO</v>
      </c>
    </row>
    <row r="326" spans="1:5" x14ac:dyDescent="0.3">
      <c r="A326" t="str">
        <f>MID(Tabla1[[#This Row],[ENLACE]],FIND("~",SUBSTITUTE(Tabla1[[#This Row],[ENLACE]],"/","~",2))+1,LEN(Tabla1[[#This Row],[ENLACE]]))</f>
        <v>aris-thessaloniki-fc</v>
      </c>
      <c r="B326" s="5" t="s">
        <v>507</v>
      </c>
      <c r="C326" t="str">
        <f>_xlfn.TEXTBEFORE(_xlfn.TEXTAFTER(Tabla1[[#This Row],[ENLACE]],"/",1),"/")</f>
        <v>greece</v>
      </c>
      <c r="D326" t="str">
        <f>Tabla1[[#This Row],[PAIS]]</f>
        <v>greece</v>
      </c>
      <c r="E326" s="8" t="str">
        <f ca="1">IF(VLOOKUP(Tabla1[[#This Row],[PAIS]],$H$2:$I$34,2)="x","SI","NO")</f>
        <v>NO</v>
      </c>
    </row>
    <row r="327" spans="1:5" x14ac:dyDescent="0.3">
      <c r="A327" t="str">
        <f>MID(Tabla1[[#This Row],[ENLACE]],FIND("~",SUBSTITUTE(Tabla1[[#This Row],[ENLACE]],"/","~",2))+1,LEN(Tabla1[[#This Row],[ENLACE]]))</f>
        <v>asteras-tripolis-fc</v>
      </c>
      <c r="B327" s="5" t="s">
        <v>508</v>
      </c>
      <c r="C327" t="str">
        <f>_xlfn.TEXTBEFORE(_xlfn.TEXTAFTER(Tabla1[[#This Row],[ENLACE]],"/",1),"/")</f>
        <v>greece</v>
      </c>
      <c r="D327" t="str">
        <f>Tabla1[[#This Row],[PAIS]]</f>
        <v>greece</v>
      </c>
      <c r="E327" s="8" t="str">
        <f ca="1">IF(VLOOKUP(Tabla1[[#This Row],[PAIS]],$H$2:$I$34,2)="x","SI","NO")</f>
        <v>NO</v>
      </c>
    </row>
    <row r="328" spans="1:5" x14ac:dyDescent="0.3">
      <c r="A328" t="str">
        <f>MID(Tabla1[[#This Row],[ENLACE]],FIND("~",SUBSTITUTE(Tabla1[[#This Row],[ENLACE]],"/","~",2))+1,LEN(Tabla1[[#This Row],[ENLACE]]))</f>
        <v>atromitos-fc</v>
      </c>
      <c r="B328" s="5" t="s">
        <v>509</v>
      </c>
      <c r="C328" t="str">
        <f>_xlfn.TEXTBEFORE(_xlfn.TEXTAFTER(Tabla1[[#This Row],[ENLACE]],"/",1),"/")</f>
        <v>greece</v>
      </c>
      <c r="D328" t="str">
        <f>Tabla1[[#This Row],[PAIS]]</f>
        <v>greece</v>
      </c>
      <c r="E328" s="8" t="str">
        <f ca="1">IF(VLOOKUP(Tabla1[[#This Row],[PAIS]],$H$2:$I$34,2)="x","SI","NO")</f>
        <v>NO</v>
      </c>
    </row>
    <row r="329" spans="1:5" x14ac:dyDescent="0.3">
      <c r="A329" t="str">
        <f>MID(Tabla1[[#This Row],[ENLACE]],FIND("~",SUBSTITUTE(Tabla1[[#This Row],[ENLACE]],"/","~",2))+1,LEN(Tabla1[[#This Row],[ENLACE]]))</f>
        <v>ae-kifisia-fc</v>
      </c>
      <c r="B329" s="5" t="s">
        <v>510</v>
      </c>
      <c r="C329" t="str">
        <f>_xlfn.TEXTBEFORE(_xlfn.TEXTAFTER(Tabla1[[#This Row],[ENLACE]],"/",1),"/")</f>
        <v>greece</v>
      </c>
      <c r="D329" t="str">
        <f>Tabla1[[#This Row],[PAIS]]</f>
        <v>greece</v>
      </c>
      <c r="E329" s="8" t="str">
        <f ca="1">IF(VLOOKUP(Tabla1[[#This Row],[PAIS]],$H$2:$I$34,2)="x","SI","NO")</f>
        <v>NO</v>
      </c>
    </row>
    <row r="330" spans="1:5" x14ac:dyDescent="0.3">
      <c r="A330" t="str">
        <f>MID(Tabla1[[#This Row],[ENLACE]],FIND("~",SUBSTITUTE(Tabla1[[#This Row],[ENLACE]],"/","~",2))+1,LEN(Tabla1[[#This Row],[ENLACE]]))</f>
        <v>levadiakos-fc</v>
      </c>
      <c r="B330" s="5" t="s">
        <v>511</v>
      </c>
      <c r="C330" t="str">
        <f>_xlfn.TEXTBEFORE(_xlfn.TEXTAFTER(Tabla1[[#This Row],[ENLACE]],"/",1),"/")</f>
        <v>greece</v>
      </c>
      <c r="D330" t="str">
        <f>Tabla1[[#This Row],[PAIS]]</f>
        <v>greece</v>
      </c>
      <c r="E330" s="8" t="str">
        <f ca="1">IF(VLOOKUP(Tabla1[[#This Row],[PAIS]],$H$2:$I$34,2)="x","SI","NO")</f>
        <v>NO</v>
      </c>
    </row>
    <row r="331" spans="1:5" x14ac:dyDescent="0.3">
      <c r="A331" t="str">
        <f>MID(Tabla1[[#This Row],[ENLACE]],FIND("~",SUBSTITUTE(Tabla1[[#This Row],[ENLACE]],"/","~",2))+1,LEN(Tabla1[[#This Row],[ENLACE]]))</f>
        <v>ofi-crete-fc</v>
      </c>
      <c r="B331" s="5" t="s">
        <v>512</v>
      </c>
      <c r="C331" t="str">
        <f>_xlfn.TEXTBEFORE(_xlfn.TEXTAFTER(Tabla1[[#This Row],[ENLACE]],"/",1),"/")</f>
        <v>greece</v>
      </c>
      <c r="D331" t="str">
        <f>Tabla1[[#This Row],[PAIS]]</f>
        <v>greece</v>
      </c>
      <c r="E331" s="8" t="str">
        <f ca="1">IF(VLOOKUP(Tabla1[[#This Row],[PAIS]],$H$2:$I$34,2)="x","SI","NO")</f>
        <v>NO</v>
      </c>
    </row>
    <row r="332" spans="1:5" x14ac:dyDescent="0.3">
      <c r="A332" t="str">
        <f>MID(Tabla1[[#This Row],[ENLACE]],FIND("~",SUBSTITUTE(Tabla1[[#This Row],[ENLACE]],"/","~",2))+1,LEN(Tabla1[[#This Row],[ENLACE]]))</f>
        <v>olympiacos-fc</v>
      </c>
      <c r="B332" s="5" t="s">
        <v>513</v>
      </c>
      <c r="C332" t="str">
        <f>_xlfn.TEXTBEFORE(_xlfn.TEXTAFTER(Tabla1[[#This Row],[ENLACE]],"/",1),"/")</f>
        <v>greece</v>
      </c>
      <c r="D332" t="str">
        <f>Tabla1[[#This Row],[PAIS]]</f>
        <v>greece</v>
      </c>
      <c r="E332" s="8" t="str">
        <f ca="1">IF(VLOOKUP(Tabla1[[#This Row],[PAIS]],$H$2:$I$34,2)="x","SI","NO")</f>
        <v>NO</v>
      </c>
    </row>
    <row r="333" spans="1:5" x14ac:dyDescent="0.3">
      <c r="A333" t="str">
        <f>MID(Tabla1[[#This Row],[ENLACE]],FIND("~",SUBSTITUTE(Tabla1[[#This Row],[ENLACE]],"/","~",2))+1,LEN(Tabla1[[#This Row],[ENLACE]]))</f>
        <v>panathinaikos-fc</v>
      </c>
      <c r="B333" s="5" t="s">
        <v>514</v>
      </c>
      <c r="C333" t="str">
        <f>_xlfn.TEXTBEFORE(_xlfn.TEXTAFTER(Tabla1[[#This Row],[ENLACE]],"/",1),"/")</f>
        <v>greece</v>
      </c>
      <c r="D333" t="str">
        <f>Tabla1[[#This Row],[PAIS]]</f>
        <v>greece</v>
      </c>
      <c r="E333" s="8" t="str">
        <f ca="1">IF(VLOOKUP(Tabla1[[#This Row],[PAIS]],$H$2:$I$34,2)="x","SI","NO")</f>
        <v>NO</v>
      </c>
    </row>
    <row r="334" spans="1:5" x14ac:dyDescent="0.3">
      <c r="A334" t="str">
        <f>MID(Tabla1[[#This Row],[ENLACE]],FIND("~",SUBSTITUTE(Tabla1[[#This Row],[ENLACE]],"/","~",2))+1,LEN(Tabla1[[#This Row],[ENLACE]]))</f>
        <v>panetolikos-fc</v>
      </c>
      <c r="B334" s="5" t="s">
        <v>515</v>
      </c>
      <c r="C334" t="str">
        <f>_xlfn.TEXTBEFORE(_xlfn.TEXTAFTER(Tabla1[[#This Row],[ENLACE]],"/",1),"/")</f>
        <v>greece</v>
      </c>
      <c r="D334" t="str">
        <f>Tabla1[[#This Row],[PAIS]]</f>
        <v>greece</v>
      </c>
      <c r="E334" s="8" t="str">
        <f ca="1">IF(VLOOKUP(Tabla1[[#This Row],[PAIS]],$H$2:$I$34,2)="x","SI","NO")</f>
        <v>NO</v>
      </c>
    </row>
    <row r="335" spans="1:5" x14ac:dyDescent="0.3">
      <c r="A335" t="str">
        <f>MID(Tabla1[[#This Row],[ENLACE]],FIND("~",SUBSTITUTE(Tabla1[[#This Row],[ENLACE]],"/","~",2))+1,LEN(Tabla1[[#This Row],[ENLACE]]))</f>
        <v>panserraikos-fc</v>
      </c>
      <c r="B335" s="5" t="s">
        <v>516</v>
      </c>
      <c r="C335" t="str">
        <f>_xlfn.TEXTBEFORE(_xlfn.TEXTAFTER(Tabla1[[#This Row],[ENLACE]],"/",1),"/")</f>
        <v>greece</v>
      </c>
      <c r="D335" t="str">
        <f>Tabla1[[#This Row],[PAIS]]</f>
        <v>greece</v>
      </c>
      <c r="E335" s="8" t="str">
        <f ca="1">IF(VLOOKUP(Tabla1[[#This Row],[PAIS]],$H$2:$I$34,2)="x","SI","NO")</f>
        <v>NO</v>
      </c>
    </row>
    <row r="336" spans="1:5" x14ac:dyDescent="0.3">
      <c r="A336" t="str">
        <f>MID(Tabla1[[#This Row],[ENLACE]],FIND("~",SUBSTITUTE(Tabla1[[#This Row],[ENLACE]],"/","~",2))+1,LEN(Tabla1[[#This Row],[ENLACE]]))</f>
        <v>paok-fc</v>
      </c>
      <c r="B336" s="5" t="s">
        <v>517</v>
      </c>
      <c r="C336" t="str">
        <f>_xlfn.TEXTBEFORE(_xlfn.TEXTAFTER(Tabla1[[#This Row],[ENLACE]],"/",1),"/")</f>
        <v>greece</v>
      </c>
      <c r="D336" t="str">
        <f>Tabla1[[#This Row],[PAIS]]</f>
        <v>greece</v>
      </c>
      <c r="E336" s="8" t="str">
        <f ca="1">IF(VLOOKUP(Tabla1[[#This Row],[PAIS]],$H$2:$I$34,2)="x","SI","NO")</f>
        <v>NO</v>
      </c>
    </row>
    <row r="337" spans="1:5" x14ac:dyDescent="0.3">
      <c r="A337" t="str">
        <f>MID(Tabla1[[#This Row],[ENLACE]],FIND("~",SUBSTITUTE(Tabla1[[#This Row],[ENLACE]],"/","~",2))+1,LEN(Tabla1[[#This Row],[ENLACE]]))</f>
        <v>volos-fc</v>
      </c>
      <c r="B337" s="5" t="s">
        <v>518</v>
      </c>
      <c r="C337" t="str">
        <f>_xlfn.TEXTBEFORE(_xlfn.TEXTAFTER(Tabla1[[#This Row],[ENLACE]],"/",1),"/")</f>
        <v>greece</v>
      </c>
      <c r="D337" t="str">
        <f>Tabla1[[#This Row],[PAIS]]</f>
        <v>greece</v>
      </c>
      <c r="E337" s="8" t="str">
        <f ca="1">IF(VLOOKUP(Tabla1[[#This Row],[PAIS]],$H$2:$I$34,2)="x","SI","NO")</f>
        <v>NO</v>
      </c>
    </row>
    <row r="338" spans="1:5" x14ac:dyDescent="0.3">
      <c r="A338" t="str">
        <f>MID(Tabla1[[#This Row],[ENLACE]],FIND("~",SUBSTITUTE(Tabla1[[#This Row],[ENLACE]],"/","~",2))+1,LEN(Tabla1[[#This Row],[ENLACE]]))</f>
        <v>ac-milan</v>
      </c>
      <c r="B338" s="2" t="s">
        <v>264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NO</v>
      </c>
    </row>
    <row r="339" spans="1:5" x14ac:dyDescent="0.3">
      <c r="A339" t="str">
        <f>MID(Tabla1[[#This Row],[ENLACE]],FIND("~",SUBSTITUTE(Tabla1[[#This Row],[ENLACE]],"/","~",2))+1,LEN(Tabla1[[#This Row],[ENLACE]]))</f>
        <v>as-roma</v>
      </c>
      <c r="B339" s="5" t="s">
        <v>265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NO</v>
      </c>
    </row>
    <row r="340" spans="1:5" x14ac:dyDescent="0.3">
      <c r="A340" t="str">
        <f>MID(Tabla1[[#This Row],[ENLACE]],FIND("~",SUBSTITUTE(Tabla1[[#This Row],[ENLACE]],"/","~",2))+1,LEN(Tabla1[[#This Row],[ENLACE]]))</f>
        <v>atalanta-bc</v>
      </c>
      <c r="B340" s="2" t="s">
        <v>266</v>
      </c>
      <c r="C340" t="str">
        <f>_xlfn.TEXTBEFORE(_xlfn.TEXTAFTER(Tabla1[[#This Row],[ENLACE]],"/",1),"/")</f>
        <v>italy</v>
      </c>
      <c r="D340" t="str">
        <f>Tabla1[[#This Row],[PAIS]]</f>
        <v>italy</v>
      </c>
      <c r="E340" s="8" t="str">
        <f ca="1">IF(VLOOKUP(Tabla1[[#This Row],[PAIS]],$H$2:$I$34,2)="x","SI","NO")</f>
        <v>NO</v>
      </c>
    </row>
    <row r="341" spans="1:5" x14ac:dyDescent="0.3">
      <c r="A341" t="str">
        <f>MID(Tabla1[[#This Row],[ENLACE]],FIND("~",SUBSTITUTE(Tabla1[[#This Row],[ENLACE]],"/","~",2))+1,LEN(Tabla1[[#This Row],[ENLACE]]))</f>
        <v>bologna-fc-1909</v>
      </c>
      <c r="B341" s="5" t="s">
        <v>267</v>
      </c>
      <c r="C341" t="str">
        <f>_xlfn.TEXTBEFORE(_xlfn.TEXTAFTER(Tabla1[[#This Row],[ENLACE]],"/",1),"/")</f>
        <v>italy</v>
      </c>
      <c r="D341" t="str">
        <f>Tabla1[[#This Row],[PAIS]]</f>
        <v>italy</v>
      </c>
      <c r="E341" s="8" t="str">
        <f ca="1">IF(VLOOKUP(Tabla1[[#This Row],[PAIS]],$H$2:$I$34,2)="x","SI","NO")</f>
        <v>NO</v>
      </c>
    </row>
    <row r="342" spans="1:5" x14ac:dyDescent="0.3">
      <c r="A342" t="str">
        <f>MID(Tabla1[[#This Row],[ENLACE]],FIND("~",SUBSTITUTE(Tabla1[[#This Row],[ENLACE]],"/","~",2))+1,LEN(Tabla1[[#This Row],[ENLACE]]))</f>
        <v>cagliari-calcio</v>
      </c>
      <c r="B342" s="2" t="s">
        <v>268</v>
      </c>
      <c r="C342" t="str">
        <f>_xlfn.TEXTBEFORE(_xlfn.TEXTAFTER(Tabla1[[#This Row],[ENLACE]],"/",1),"/")</f>
        <v>italy</v>
      </c>
      <c r="D342" t="str">
        <f>Tabla1[[#This Row],[PAIS]]</f>
        <v>italy</v>
      </c>
      <c r="E342" s="8" t="str">
        <f ca="1">IF(VLOOKUP(Tabla1[[#This Row],[PAIS]],$H$2:$I$34,2)="x","SI","NO")</f>
        <v>NO</v>
      </c>
    </row>
    <row r="343" spans="1:5" x14ac:dyDescent="0.3">
      <c r="A343" t="str">
        <f>MID(Tabla1[[#This Row],[ENLACE]],FIND("~",SUBSTITUTE(Tabla1[[#This Row],[ENLACE]],"/","~",2))+1,LEN(Tabla1[[#This Row],[ENLACE]]))</f>
        <v>como-1907</v>
      </c>
      <c r="B343" s="5" t="s">
        <v>269</v>
      </c>
      <c r="C343" t="str">
        <f>_xlfn.TEXTBEFORE(_xlfn.TEXTAFTER(Tabla1[[#This Row],[ENLACE]],"/",1),"/")</f>
        <v>italy</v>
      </c>
      <c r="D343" t="str">
        <f>Tabla1[[#This Row],[PAIS]]</f>
        <v>italy</v>
      </c>
      <c r="E343" s="8" t="str">
        <f ca="1">IF(VLOOKUP(Tabla1[[#This Row],[PAIS]],$H$2:$I$34,2)="x","SI","NO")</f>
        <v>NO</v>
      </c>
    </row>
    <row r="344" spans="1:5" x14ac:dyDescent="0.3">
      <c r="A344" t="str">
        <f>MID(Tabla1[[#This Row],[ENLACE]],FIND("~",SUBSTITUTE(Tabla1[[#This Row],[ENLACE]],"/","~",2))+1,LEN(Tabla1[[#This Row],[ENLACE]]))</f>
        <v>us-cremonese</v>
      </c>
      <c r="B344" s="2" t="s">
        <v>496</v>
      </c>
      <c r="C344" t="str">
        <f>_xlfn.TEXTBEFORE(_xlfn.TEXTAFTER(Tabla1[[#This Row],[ENLACE]],"/",1),"/")</f>
        <v>italy</v>
      </c>
      <c r="D344" t="str">
        <f>Tabla1[[#This Row],[PAIS]]</f>
        <v>italy</v>
      </c>
      <c r="E344" s="8" t="str">
        <f ca="1">IF(VLOOKUP(Tabla1[[#This Row],[PAIS]],$H$2:$I$34,2)="x","SI","NO")</f>
        <v>NO</v>
      </c>
    </row>
    <row r="345" spans="1:5" x14ac:dyDescent="0.3">
      <c r="A345" t="str">
        <f>MID(Tabla1[[#This Row],[ENLACE]],FIND("~",SUBSTITUTE(Tabla1[[#This Row],[ENLACE]],"/","~",2))+1,LEN(Tabla1[[#This Row],[ENLACE]]))</f>
        <v>acf-fiorentina</v>
      </c>
      <c r="B345" s="5" t="s">
        <v>270</v>
      </c>
      <c r="C345" t="str">
        <f>_xlfn.TEXTBEFORE(_xlfn.TEXTAFTER(Tabla1[[#This Row],[ENLACE]],"/",1),"/")</f>
        <v>italy</v>
      </c>
      <c r="D345" t="str">
        <f>Tabla1[[#This Row],[PAIS]]</f>
        <v>italy</v>
      </c>
      <c r="E345" s="8" t="str">
        <f ca="1">IF(VLOOKUP(Tabla1[[#This Row],[PAIS]],$H$2:$I$34,2)="x","SI","NO")</f>
        <v>NO</v>
      </c>
    </row>
    <row r="346" spans="1:5" x14ac:dyDescent="0.3">
      <c r="A346" t="str">
        <f>MID(Tabla1[[#This Row],[ENLACE]],FIND("~",SUBSTITUTE(Tabla1[[#This Row],[ENLACE]],"/","~",2))+1,LEN(Tabla1[[#This Row],[ENLACE]]))</f>
        <v>genoa-cfc</v>
      </c>
      <c r="B346" s="2" t="s">
        <v>271</v>
      </c>
      <c r="C346" t="str">
        <f>_xlfn.TEXTBEFORE(_xlfn.TEXTAFTER(Tabla1[[#This Row],[ENLACE]],"/",1),"/")</f>
        <v>italy</v>
      </c>
      <c r="D346" t="str">
        <f>Tabla1[[#This Row],[PAIS]]</f>
        <v>italy</v>
      </c>
      <c r="E346" s="8" t="str">
        <f ca="1">IF(VLOOKUP(Tabla1[[#This Row],[PAIS]],$H$2:$I$34,2)="x","SI","NO")</f>
        <v>NO</v>
      </c>
    </row>
    <row r="347" spans="1:5" x14ac:dyDescent="0.3">
      <c r="A347" t="str">
        <f>MID(Tabla1[[#This Row],[ENLACE]],FIND("~",SUBSTITUTE(Tabla1[[#This Row],[ENLACE]],"/","~",2))+1,LEN(Tabla1[[#This Row],[ENLACE]]))</f>
        <v>inter-milan</v>
      </c>
      <c r="B347" s="5" t="s">
        <v>272</v>
      </c>
      <c r="C347" t="str">
        <f>_xlfn.TEXTBEFORE(_xlfn.TEXTAFTER(Tabla1[[#This Row],[ENLACE]],"/",1),"/")</f>
        <v>italy</v>
      </c>
      <c r="D347" t="str">
        <f>Tabla1[[#This Row],[PAIS]]</f>
        <v>italy</v>
      </c>
      <c r="E347" s="8" t="str">
        <f ca="1">IF(VLOOKUP(Tabla1[[#This Row],[PAIS]],$H$2:$I$34,2)="x","SI","NO")</f>
        <v>NO</v>
      </c>
    </row>
    <row r="348" spans="1:5" x14ac:dyDescent="0.3">
      <c r="A348" t="str">
        <f>MID(Tabla1[[#This Row],[ENLACE]],FIND("~",SUBSTITUTE(Tabla1[[#This Row],[ENLACE]],"/","~",2))+1,LEN(Tabla1[[#This Row],[ENLACE]]))</f>
        <v>juventus-fc</v>
      </c>
      <c r="B348" s="2" t="s">
        <v>273</v>
      </c>
      <c r="C348" t="str">
        <f>_xlfn.TEXTBEFORE(_xlfn.TEXTAFTER(Tabla1[[#This Row],[ENLACE]],"/",1),"/")</f>
        <v>italy</v>
      </c>
      <c r="D348" t="str">
        <f>Tabla1[[#This Row],[PAIS]]</f>
        <v>italy</v>
      </c>
      <c r="E348" s="8" t="str">
        <f ca="1">IF(VLOOKUP(Tabla1[[#This Row],[PAIS]],$H$2:$I$34,2)="x","SI","NO")</f>
        <v>NO</v>
      </c>
    </row>
    <row r="349" spans="1:5" x14ac:dyDescent="0.3">
      <c r="A349" t="str">
        <f>MID(Tabla1[[#This Row],[ENLACE]],FIND("~",SUBSTITUTE(Tabla1[[#This Row],[ENLACE]],"/","~",2))+1,LEN(Tabla1[[#This Row],[ENLACE]]))</f>
        <v>ss-lazio</v>
      </c>
      <c r="B349" s="5" t="s">
        <v>274</v>
      </c>
      <c r="C349" t="str">
        <f>_xlfn.TEXTBEFORE(_xlfn.TEXTAFTER(Tabla1[[#This Row],[ENLACE]],"/",1),"/")</f>
        <v>italy</v>
      </c>
      <c r="D349" t="str">
        <f>Tabla1[[#This Row],[PAIS]]</f>
        <v>italy</v>
      </c>
      <c r="E349" s="8" t="str">
        <f ca="1">IF(VLOOKUP(Tabla1[[#This Row],[PAIS]],$H$2:$I$34,2)="x","SI","NO")</f>
        <v>NO</v>
      </c>
    </row>
    <row r="350" spans="1:5" x14ac:dyDescent="0.3">
      <c r="A350" t="str">
        <f>MID(Tabla1[[#This Row],[ENLACE]],FIND("~",SUBSTITUTE(Tabla1[[#This Row],[ENLACE]],"/","~",2))+1,LEN(Tabla1[[#This Row],[ENLACE]]))</f>
        <v>us-lecce</v>
      </c>
      <c r="B350" s="2" t="s">
        <v>275</v>
      </c>
      <c r="C350" t="str">
        <f>_xlfn.TEXTBEFORE(_xlfn.TEXTAFTER(Tabla1[[#This Row],[ENLACE]],"/",1),"/")</f>
        <v>italy</v>
      </c>
      <c r="D350" t="str">
        <f>Tabla1[[#This Row],[PAIS]]</f>
        <v>italy</v>
      </c>
      <c r="E350" s="8" t="str">
        <f ca="1">IF(VLOOKUP(Tabla1[[#This Row],[PAIS]],$H$2:$I$34,2)="x","SI","NO")</f>
        <v>NO</v>
      </c>
    </row>
    <row r="351" spans="1:5" x14ac:dyDescent="0.3">
      <c r="A351" t="str">
        <f>MID(Tabla1[[#This Row],[ENLACE]],FIND("~",SUBSTITUTE(Tabla1[[#This Row],[ENLACE]],"/","~",2))+1,LEN(Tabla1[[#This Row],[ENLACE]]))</f>
        <v>ssc-napoli</v>
      </c>
      <c r="B351" s="5" t="s">
        <v>276</v>
      </c>
      <c r="C351" t="str">
        <f>_xlfn.TEXTBEFORE(_xlfn.TEXTAFTER(Tabla1[[#This Row],[ENLACE]],"/",1),"/")</f>
        <v>italy</v>
      </c>
      <c r="D351" t="str">
        <f>Tabla1[[#This Row],[PAIS]]</f>
        <v>italy</v>
      </c>
      <c r="E351" s="8" t="str">
        <f ca="1">IF(VLOOKUP(Tabla1[[#This Row],[PAIS]],$H$2:$I$34,2)="x","SI","NO")</f>
        <v>NO</v>
      </c>
    </row>
    <row r="352" spans="1:5" x14ac:dyDescent="0.3">
      <c r="A352" t="str">
        <f>MID(Tabla1[[#This Row],[ENLACE]],FIND("~",SUBSTITUTE(Tabla1[[#This Row],[ENLACE]],"/","~",2))+1,LEN(Tabla1[[#This Row],[ENLACE]]))</f>
        <v>parma-calcio-1913</v>
      </c>
      <c r="B352" s="2" t="s">
        <v>277</v>
      </c>
      <c r="C352" t="str">
        <f>_xlfn.TEXTBEFORE(_xlfn.TEXTAFTER(Tabla1[[#This Row],[ENLACE]],"/",1),"/")</f>
        <v>italy</v>
      </c>
      <c r="D352" t="str">
        <f>Tabla1[[#This Row],[PAIS]]</f>
        <v>italy</v>
      </c>
      <c r="E352" s="8" t="str">
        <f ca="1">IF(VLOOKUP(Tabla1[[#This Row],[PAIS]],$H$2:$I$34,2)="x","SI","NO")</f>
        <v>NO</v>
      </c>
    </row>
    <row r="353" spans="1:5" x14ac:dyDescent="0.3">
      <c r="A353" t="str">
        <f>MID(Tabla1[[#This Row],[ENLACE]],FIND("~",SUBSTITUTE(Tabla1[[#This Row],[ENLACE]],"/","~",2))+1,LEN(Tabla1[[#This Row],[ENLACE]]))</f>
        <v>ac-pisa-1909</v>
      </c>
      <c r="B353" s="5" t="s">
        <v>497</v>
      </c>
      <c r="C353" t="str">
        <f>_xlfn.TEXTBEFORE(_xlfn.TEXTAFTER(Tabla1[[#This Row],[ENLACE]],"/",1),"/")</f>
        <v>italy</v>
      </c>
      <c r="D353" t="str">
        <f>Tabla1[[#This Row],[PAIS]]</f>
        <v>italy</v>
      </c>
      <c r="E353" s="8" t="str">
        <f ca="1">IF(VLOOKUP(Tabla1[[#This Row],[PAIS]],$H$2:$I$34,2)="x","SI","NO")</f>
        <v>NO</v>
      </c>
    </row>
    <row r="354" spans="1:5" x14ac:dyDescent="0.3">
      <c r="A354" t="str">
        <f>MID(Tabla1[[#This Row],[ENLACE]],FIND("~",SUBSTITUTE(Tabla1[[#This Row],[ENLACE]],"/","~",2))+1,LEN(Tabla1[[#This Row],[ENLACE]]))</f>
        <v>us-sassuolo-calcio</v>
      </c>
      <c r="B354" s="2" t="s">
        <v>498</v>
      </c>
      <c r="C354" t="str">
        <f>_xlfn.TEXTBEFORE(_xlfn.TEXTAFTER(Tabla1[[#This Row],[ENLACE]],"/",1),"/")</f>
        <v>italy</v>
      </c>
      <c r="D354" t="str">
        <f>Tabla1[[#This Row],[PAIS]]</f>
        <v>italy</v>
      </c>
      <c r="E354" s="8" t="str">
        <f ca="1">IF(VLOOKUP(Tabla1[[#This Row],[PAIS]],$H$2:$I$34,2)="x","SI","NO")</f>
        <v>NO</v>
      </c>
    </row>
    <row r="355" spans="1:5" x14ac:dyDescent="0.3">
      <c r="A355" t="str">
        <f>MID(Tabla1[[#This Row],[ENLACE]],FIND("~",SUBSTITUTE(Tabla1[[#This Row],[ENLACE]],"/","~",2))+1,LEN(Tabla1[[#This Row],[ENLACE]]))</f>
        <v>torino-fc</v>
      </c>
      <c r="B355" s="5" t="s">
        <v>278</v>
      </c>
      <c r="C355" t="str">
        <f>_xlfn.TEXTBEFORE(_xlfn.TEXTAFTER(Tabla1[[#This Row],[ENLACE]],"/",1),"/")</f>
        <v>italy</v>
      </c>
      <c r="D355" t="str">
        <f>Tabla1[[#This Row],[PAIS]]</f>
        <v>italy</v>
      </c>
      <c r="E355" s="8" t="str">
        <f ca="1">IF(VLOOKUP(Tabla1[[#This Row],[PAIS]],$H$2:$I$34,2)="x","SI","NO")</f>
        <v>NO</v>
      </c>
    </row>
    <row r="356" spans="1:5" x14ac:dyDescent="0.3">
      <c r="A356" t="str">
        <f>MID(Tabla1[[#This Row],[ENLACE]],FIND("~",SUBSTITUTE(Tabla1[[#This Row],[ENLACE]],"/","~",2))+1,LEN(Tabla1[[#This Row],[ENLACE]]))</f>
        <v>udinese-calcio</v>
      </c>
      <c r="B356" s="2" t="s">
        <v>279</v>
      </c>
      <c r="C356" t="str">
        <f>_xlfn.TEXTBEFORE(_xlfn.TEXTAFTER(Tabla1[[#This Row],[ENLACE]],"/",1),"/")</f>
        <v>italy</v>
      </c>
      <c r="D356" t="str">
        <f>Tabla1[[#This Row],[PAIS]]</f>
        <v>italy</v>
      </c>
      <c r="E356" s="8" t="str">
        <f ca="1">IF(VLOOKUP(Tabla1[[#This Row],[PAIS]],$H$2:$I$34,2)="x","SI","NO")</f>
        <v>NO</v>
      </c>
    </row>
    <row r="357" spans="1:5" x14ac:dyDescent="0.3">
      <c r="A357" t="str">
        <f>MID(Tabla1[[#This Row],[ENLACE]],FIND("~",SUBSTITUTE(Tabla1[[#This Row],[ENLACE]],"/","~",2))+1,LEN(Tabla1[[#This Row],[ENLACE]]))</f>
        <v>hellas-verona-fc</v>
      </c>
      <c r="B357" s="5" t="s">
        <v>280</v>
      </c>
      <c r="C357" t="str">
        <f>_xlfn.TEXTBEFORE(_xlfn.TEXTAFTER(Tabla1[[#This Row],[ENLACE]],"/",1),"/")</f>
        <v>italy</v>
      </c>
      <c r="D357" t="str">
        <f>Tabla1[[#This Row],[PAIS]]</f>
        <v>italy</v>
      </c>
      <c r="E357" s="8" t="str">
        <f ca="1">IF(VLOOKUP(Tabla1[[#This Row],[PAIS]],$H$2:$I$34,2)="x","SI","NO")</f>
        <v>NO</v>
      </c>
    </row>
    <row r="358" spans="1:5" x14ac:dyDescent="0.3">
      <c r="A358" t="str">
        <f>MID(Tabla1[[#This Row],[ENLACE]],FIND("~",SUBSTITUTE(Tabla1[[#This Row],[ENLACE]],"/","~",2))+1,LEN(Tabla1[[#This Row],[ENLACE]]))</f>
        <v>atletico-san-luis</v>
      </c>
      <c r="B358" s="2" t="s">
        <v>281</v>
      </c>
      <c r="C358" t="str">
        <f>_xlfn.TEXTBEFORE(_xlfn.TEXTAFTER(Tabla1[[#This Row],[ENLACE]],"/",1),"/")</f>
        <v>mexico</v>
      </c>
      <c r="D358" t="str">
        <f>Tabla1[[#This Row],[PAIS]]</f>
        <v>mexico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atlas-fc</v>
      </c>
      <c r="B359" s="5" t="s">
        <v>282</v>
      </c>
      <c r="C359" t="str">
        <f>_xlfn.TEXTBEFORE(_xlfn.TEXTAFTER(Tabla1[[#This Row],[ENLACE]],"/",1),"/")</f>
        <v>mexico</v>
      </c>
      <c r="D359" t="str">
        <f>Tabla1[[#This Row],[PAIS]]</f>
        <v>mexico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club-america</v>
      </c>
      <c r="B360" s="2" t="s">
        <v>283</v>
      </c>
      <c r="C360" t="str">
        <f>_xlfn.TEXTBEFORE(_xlfn.TEXTAFTER(Tabla1[[#This Row],[ENLACE]],"/",1),"/")</f>
        <v>mexico</v>
      </c>
      <c r="D360" t="str">
        <f>Tabla1[[#This Row],[PAIS]]</f>
        <v>mexico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cruz-azul</v>
      </c>
      <c r="B361" s="5" t="s">
        <v>284</v>
      </c>
      <c r="C361" t="str">
        <f>_xlfn.TEXTBEFORE(_xlfn.TEXTAFTER(Tabla1[[#This Row],[ENLACE]],"/",1),"/")</f>
        <v>mexico</v>
      </c>
      <c r="D361" t="str">
        <f>Tabla1[[#This Row],[PAIS]]</f>
        <v>mexico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cd-guadalajara</v>
      </c>
      <c r="B362" s="2" t="s">
        <v>285</v>
      </c>
      <c r="C362" t="str">
        <f>_xlfn.TEXTBEFORE(_xlfn.TEXTAFTER(Tabla1[[#This Row],[ENLACE]],"/",1),"/")</f>
        <v>mexico</v>
      </c>
      <c r="D362" t="str">
        <f>Tabla1[[#This Row],[PAIS]]</f>
        <v>mexico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fc-juarez</v>
      </c>
      <c r="B363" s="5" t="s">
        <v>286</v>
      </c>
      <c r="C363" t="str">
        <f>_xlfn.TEXTBEFORE(_xlfn.TEXTAFTER(Tabla1[[#This Row],[ENLACE]],"/",1),"/")</f>
        <v>mexico</v>
      </c>
      <c r="D363" t="str">
        <f>Tabla1[[#This Row],[PAIS]]</f>
        <v>mexico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club-leon</v>
      </c>
      <c r="B364" s="2" t="s">
        <v>287</v>
      </c>
      <c r="C364" t="str">
        <f>_xlfn.TEXTBEFORE(_xlfn.TEXTAFTER(Tabla1[[#This Row],[ENLACE]],"/",1),"/")</f>
        <v>mexico</v>
      </c>
      <c r="D364" t="str">
        <f>Tabla1[[#This Row],[PAIS]]</f>
        <v>mexico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mazatlan-fc</v>
      </c>
      <c r="B365" s="5" t="s">
        <v>288</v>
      </c>
      <c r="C365" t="str">
        <f>_xlfn.TEXTBEFORE(_xlfn.TEXTAFTER(Tabla1[[#This Row],[ENLACE]],"/",1),"/")</f>
        <v>mexico</v>
      </c>
      <c r="D365" t="str">
        <f>Tabla1[[#This Row],[PAIS]]</f>
        <v>mexico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cf-monterrey</v>
      </c>
      <c r="B366" s="2" t="s">
        <v>289</v>
      </c>
      <c r="C366" t="str">
        <f>_xlfn.TEXTBEFORE(_xlfn.TEXTAFTER(Tabla1[[#This Row],[ENLACE]],"/",1),"/")</f>
        <v>mexico</v>
      </c>
      <c r="D366" t="str">
        <f>Tabla1[[#This Row],[PAIS]]</f>
        <v>mexico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club-necaxa</v>
      </c>
      <c r="B367" s="5" t="s">
        <v>290</v>
      </c>
      <c r="C367" t="str">
        <f>_xlfn.TEXTBEFORE(_xlfn.TEXTAFTER(Tabla1[[#This Row],[ENLACE]],"/",1),"/")</f>
        <v>mexico</v>
      </c>
      <c r="D367" t="str">
        <f>Tabla1[[#This Row],[PAIS]]</f>
        <v>mexico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cf-pachuca</v>
      </c>
      <c r="B368" s="2" t="s">
        <v>291</v>
      </c>
      <c r="C368" t="str">
        <f>_xlfn.TEXTBEFORE(_xlfn.TEXTAFTER(Tabla1[[#This Row],[ENLACE]],"/",1),"/")</f>
        <v>mexico</v>
      </c>
      <c r="D368" t="str">
        <f>Tabla1[[#This Row],[PAIS]]</f>
        <v>mexico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club-puebla</v>
      </c>
      <c r="B369" s="5" t="s">
        <v>292</v>
      </c>
      <c r="C369" t="str">
        <f>_xlfn.TEXTBEFORE(_xlfn.TEXTAFTER(Tabla1[[#This Row],[ENLACE]],"/",1),"/")</f>
        <v>mexico</v>
      </c>
      <c r="D369" t="str">
        <f>Tabla1[[#This Row],[PAIS]]</f>
        <v>mexico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queretaro-fc</v>
      </c>
      <c r="B370" s="2" t="s">
        <v>293</v>
      </c>
      <c r="C370" t="str">
        <f>_xlfn.TEXTBEFORE(_xlfn.TEXTAFTER(Tabla1[[#This Row],[ENLACE]],"/",1),"/")</f>
        <v>mexico</v>
      </c>
      <c r="D370" t="str">
        <f>Tabla1[[#This Row],[PAIS]]</f>
        <v>mexico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santos-laguna</v>
      </c>
      <c r="B371" s="5" t="s">
        <v>294</v>
      </c>
      <c r="C371" t="str">
        <f>_xlfn.TEXTBEFORE(_xlfn.TEXTAFTER(Tabla1[[#This Row],[ENLACE]],"/",1),"/")</f>
        <v>mexico</v>
      </c>
      <c r="D371" t="str">
        <f>Tabla1[[#This Row],[PAIS]]</f>
        <v>mexico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tigres-uanl</v>
      </c>
      <c r="B372" s="2" t="s">
        <v>295</v>
      </c>
      <c r="C372" t="str">
        <f>_xlfn.TEXTBEFORE(_xlfn.TEXTAFTER(Tabla1[[#This Row],[ENLACE]],"/",1),"/")</f>
        <v>mexico</v>
      </c>
      <c r="D372" t="str">
        <f>Tabla1[[#This Row],[PAIS]]</f>
        <v>mexico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club-tijuana</v>
      </c>
      <c r="B373" s="5" t="s">
        <v>296</v>
      </c>
      <c r="C373" t="str">
        <f>_xlfn.TEXTBEFORE(_xlfn.TEXTAFTER(Tabla1[[#This Row],[ENLACE]],"/",1),"/")</f>
        <v>mexico</v>
      </c>
      <c r="D373" t="str">
        <f>Tabla1[[#This Row],[PAIS]]</f>
        <v>mexico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deportivo-toluca-fc</v>
      </c>
      <c r="B374" s="2" t="s">
        <v>297</v>
      </c>
      <c r="C374" t="str">
        <f>_xlfn.TEXTBEFORE(_xlfn.TEXTAFTER(Tabla1[[#This Row],[ENLACE]],"/",1),"/")</f>
        <v>mexico</v>
      </c>
      <c r="D374" t="str">
        <f>Tabla1[[#This Row],[PAIS]]</f>
        <v>mexico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unam</v>
      </c>
      <c r="B375" s="5" t="s">
        <v>298</v>
      </c>
      <c r="C375" t="str">
        <f>_xlfn.TEXTBEFORE(_xlfn.TEXTAFTER(Tabla1[[#This Row],[ENLACE]],"/",1),"/")</f>
        <v>mexico</v>
      </c>
      <c r="D375" t="str">
        <f>Tabla1[[#This Row],[PAIS]]</f>
        <v>mexico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afc-ajax</v>
      </c>
      <c r="B376" s="2" t="s">
        <v>299</v>
      </c>
      <c r="C376" t="str">
        <f>_xlfn.TEXTBEFORE(_xlfn.TEXTAFTER(Tabla1[[#This Row],[ENLACE]],"/",1),"/")</f>
        <v>netherlands</v>
      </c>
      <c r="D376" t="str">
        <f>Tabla1[[#This Row],[PAIS]]</f>
        <v>netherlands</v>
      </c>
      <c r="E376" s="8" t="str">
        <f ca="1">IF(VLOOKUP(Tabla1[[#This Row],[PAIS]],$H$2:$I$34,2)="x","SI","NO")</f>
        <v>NO</v>
      </c>
    </row>
    <row r="377" spans="1:5" x14ac:dyDescent="0.3">
      <c r="A377" t="str">
        <f>MID(Tabla1[[#This Row],[ENLACE]],FIND("~",SUBSTITUTE(Tabla1[[#This Row],[ENLACE]],"/","~",2))+1,LEN(Tabla1[[#This Row],[ENLACE]]))</f>
        <v>az-alkmaar</v>
      </c>
      <c r="B377" s="5" t="s">
        <v>300</v>
      </c>
      <c r="C377" t="str">
        <f>_xlfn.TEXTBEFORE(_xlfn.TEXTAFTER(Tabla1[[#This Row],[ENLACE]],"/",1),"/")</f>
        <v>netherlands</v>
      </c>
      <c r="D377" t="str">
        <f>Tabla1[[#This Row],[PAIS]]</f>
        <v>netherlands</v>
      </c>
      <c r="E377" s="8" t="str">
        <f ca="1">IF(VLOOKUP(Tabla1[[#This Row],[PAIS]],$H$2:$I$34,2)="x","SI","NO")</f>
        <v>NO</v>
      </c>
    </row>
    <row r="378" spans="1:5" x14ac:dyDescent="0.3">
      <c r="A378" t="str">
        <f>MID(Tabla1[[#This Row],[ENLACE]],FIND("~",SUBSTITUTE(Tabla1[[#This Row],[ENLACE]],"/","~",2))+1,LEN(Tabla1[[#This Row],[ENLACE]]))</f>
        <v>sbv-excelsior</v>
      </c>
      <c r="B378" s="2" t="s">
        <v>301</v>
      </c>
      <c r="C378" t="str">
        <f>_xlfn.TEXTBEFORE(_xlfn.TEXTAFTER(Tabla1[[#This Row],[ENLACE]],"/",1),"/")</f>
        <v>netherlands</v>
      </c>
      <c r="D378" t="str">
        <f>Tabla1[[#This Row],[PAIS]]</f>
        <v>netherlands</v>
      </c>
      <c r="E378" s="8" t="str">
        <f ca="1">IF(VLOOKUP(Tabla1[[#This Row],[PAIS]],$H$2:$I$34,2)="x","SI","NO")</f>
        <v>NO</v>
      </c>
    </row>
    <row r="379" spans="1:5" x14ac:dyDescent="0.3">
      <c r="A379" t="str">
        <f>MID(Tabla1[[#This Row],[ENLACE]],FIND("~",SUBSTITUTE(Tabla1[[#This Row],[ENLACE]],"/","~",2))+1,LEN(Tabla1[[#This Row],[ENLACE]]))</f>
        <v>fc-volendam</v>
      </c>
      <c r="B379" s="5" t="s">
        <v>302</v>
      </c>
      <c r="C379" t="str">
        <f>_xlfn.TEXTBEFORE(_xlfn.TEXTAFTER(Tabla1[[#This Row],[ENLACE]],"/",1),"/")</f>
        <v>netherlands</v>
      </c>
      <c r="D379" t="str">
        <f>Tabla1[[#This Row],[PAIS]]</f>
        <v>netherlands</v>
      </c>
      <c r="E379" s="8" t="str">
        <f ca="1">IF(VLOOKUP(Tabla1[[#This Row],[PAIS]],$H$2:$I$34,2)="x","SI","NO")</f>
        <v>NO</v>
      </c>
    </row>
    <row r="380" spans="1:5" x14ac:dyDescent="0.3">
      <c r="A380" t="str">
        <f>MID(Tabla1[[#This Row],[ENLACE]],FIND("~",SUBSTITUTE(Tabla1[[#This Row],[ENLACE]],"/","~",2))+1,LEN(Tabla1[[#This Row],[ENLACE]]))</f>
        <v>feyenoord-rotterdam</v>
      </c>
      <c r="B380" s="2" t="s">
        <v>303</v>
      </c>
      <c r="C380" t="str">
        <f>_xlfn.TEXTBEFORE(_xlfn.TEXTAFTER(Tabla1[[#This Row],[ENLACE]],"/",1),"/")</f>
        <v>netherlands</v>
      </c>
      <c r="D380" t="str">
        <f>Tabla1[[#This Row],[PAIS]]</f>
        <v>netherlands</v>
      </c>
      <c r="E380" s="8" t="str">
        <f ca="1">IF(VLOOKUP(Tabla1[[#This Row],[PAIS]],$H$2:$I$34,2)="x","SI","NO")</f>
        <v>NO</v>
      </c>
    </row>
    <row r="381" spans="1:5" x14ac:dyDescent="0.3">
      <c r="A381" t="str">
        <f>MID(Tabla1[[#This Row],[ENLACE]],FIND("~",SUBSTITUTE(Tabla1[[#This Row],[ENLACE]],"/","~",2))+1,LEN(Tabla1[[#This Row],[ENLACE]]))</f>
        <v>go-ahead-eagles</v>
      </c>
      <c r="B381" s="5" t="s">
        <v>304</v>
      </c>
      <c r="C381" t="str">
        <f>_xlfn.TEXTBEFORE(_xlfn.TEXTAFTER(Tabla1[[#This Row],[ENLACE]],"/",1),"/")</f>
        <v>netherlands</v>
      </c>
      <c r="D381" t="str">
        <f>Tabla1[[#This Row],[PAIS]]</f>
        <v>netherlands</v>
      </c>
      <c r="E381" s="8" t="str">
        <f ca="1">IF(VLOOKUP(Tabla1[[#This Row],[PAIS]],$H$2:$I$34,2)="x","SI","NO")</f>
        <v>NO</v>
      </c>
    </row>
    <row r="382" spans="1:5" x14ac:dyDescent="0.3">
      <c r="A382" t="str">
        <f>MID(Tabla1[[#This Row],[ENLACE]],FIND("~",SUBSTITUTE(Tabla1[[#This Row],[ENLACE]],"/","~",2))+1,LEN(Tabla1[[#This Row],[ENLACE]]))</f>
        <v>fc-groningen</v>
      </c>
      <c r="B382" s="2" t="s">
        <v>305</v>
      </c>
      <c r="C382" t="str">
        <f>_xlfn.TEXTBEFORE(_xlfn.TEXTAFTER(Tabla1[[#This Row],[ENLACE]],"/",1),"/")</f>
        <v>netherlands</v>
      </c>
      <c r="D382" t="str">
        <f>Tabla1[[#This Row],[PAIS]]</f>
        <v>netherlands</v>
      </c>
      <c r="E382" s="8" t="str">
        <f ca="1">IF(VLOOKUP(Tabla1[[#This Row],[PAIS]],$H$2:$I$34,2)="x","SI","NO")</f>
        <v>NO</v>
      </c>
    </row>
    <row r="383" spans="1:5" x14ac:dyDescent="0.3">
      <c r="A383" t="str">
        <f>MID(Tabla1[[#This Row],[ENLACE]],FIND("~",SUBSTITUTE(Tabla1[[#This Row],[ENLACE]],"/","~",2))+1,LEN(Tabla1[[#This Row],[ENLACE]]))</f>
        <v>sc-heerenveen</v>
      </c>
      <c r="B383" s="5" t="s">
        <v>306</v>
      </c>
      <c r="C383" t="str">
        <f>_xlfn.TEXTBEFORE(_xlfn.TEXTAFTER(Tabla1[[#This Row],[ENLACE]],"/",1),"/")</f>
        <v>netherlands</v>
      </c>
      <c r="D383" t="str">
        <f>Tabla1[[#This Row],[PAIS]]</f>
        <v>netherlands</v>
      </c>
      <c r="E383" s="8" t="str">
        <f ca="1">IF(VLOOKUP(Tabla1[[#This Row],[PAIS]],$H$2:$I$34,2)="x","SI","NO")</f>
        <v>NO</v>
      </c>
    </row>
    <row r="384" spans="1:5" x14ac:dyDescent="0.3">
      <c r="A384" t="str">
        <f>MID(Tabla1[[#This Row],[ENLACE]],FIND("~",SUBSTITUTE(Tabla1[[#This Row],[ENLACE]],"/","~",2))+1,LEN(Tabla1[[#This Row],[ENLACE]]))</f>
        <v>heracles-almelo</v>
      </c>
      <c r="B384" s="2" t="s">
        <v>307</v>
      </c>
      <c r="C384" t="str">
        <f>_xlfn.TEXTBEFORE(_xlfn.TEXTAFTER(Tabla1[[#This Row],[ENLACE]],"/",1),"/")</f>
        <v>netherlands</v>
      </c>
      <c r="D384" t="str">
        <f>Tabla1[[#This Row],[PAIS]]</f>
        <v>netherlands</v>
      </c>
      <c r="E384" s="8" t="str">
        <f ca="1">IF(VLOOKUP(Tabla1[[#This Row],[PAIS]],$H$2:$I$34,2)="x","SI","NO")</f>
        <v>NO</v>
      </c>
    </row>
    <row r="385" spans="1:5" x14ac:dyDescent="0.3">
      <c r="A385" t="str">
        <f>MID(Tabla1[[#This Row],[ENLACE]],FIND("~",SUBSTITUTE(Tabla1[[#This Row],[ENLACE]],"/","~",2))+1,LEN(Tabla1[[#This Row],[ENLACE]]))</f>
        <v>nac-breda</v>
      </c>
      <c r="B385" s="5" t="s">
        <v>308</v>
      </c>
      <c r="C385" t="str">
        <f>_xlfn.TEXTBEFORE(_xlfn.TEXTAFTER(Tabla1[[#This Row],[ENLACE]],"/",1),"/")</f>
        <v>netherlands</v>
      </c>
      <c r="D385" t="str">
        <f>Tabla1[[#This Row],[PAIS]]</f>
        <v>netherlands</v>
      </c>
      <c r="E385" s="8" t="str">
        <f ca="1">IF(VLOOKUP(Tabla1[[#This Row],[PAIS]],$H$2:$I$34,2)="x","SI","NO")</f>
        <v>NO</v>
      </c>
    </row>
    <row r="386" spans="1:5" x14ac:dyDescent="0.3">
      <c r="A386" t="str">
        <f>MID(Tabla1[[#This Row],[ENLACE]],FIND("~",SUBSTITUTE(Tabla1[[#This Row],[ENLACE]],"/","~",2))+1,LEN(Tabla1[[#This Row],[ENLACE]]))</f>
        <v>nec-nijmegen</v>
      </c>
      <c r="B386" s="2" t="s">
        <v>309</v>
      </c>
      <c r="C386" t="str">
        <f>_xlfn.TEXTBEFORE(_xlfn.TEXTAFTER(Tabla1[[#This Row],[ENLACE]],"/",1),"/")</f>
        <v>netherlands</v>
      </c>
      <c r="D386" t="str">
        <f>Tabla1[[#This Row],[PAIS]]</f>
        <v>netherlands</v>
      </c>
      <c r="E386" s="8" t="str">
        <f ca="1">IF(VLOOKUP(Tabla1[[#This Row],[PAIS]],$H$2:$I$34,2)="x","SI","NO")</f>
        <v>NO</v>
      </c>
    </row>
    <row r="387" spans="1:5" x14ac:dyDescent="0.3">
      <c r="A387" t="str">
        <f>MID(Tabla1[[#This Row],[ENLACE]],FIND("~",SUBSTITUTE(Tabla1[[#This Row],[ENLACE]],"/","~",2))+1,LEN(Tabla1[[#This Row],[ENLACE]]))</f>
        <v>psv-eindhoven</v>
      </c>
      <c r="B387" s="5" t="s">
        <v>310</v>
      </c>
      <c r="C387" t="str">
        <f>_xlfn.TEXTBEFORE(_xlfn.TEXTAFTER(Tabla1[[#This Row],[ENLACE]],"/",1),"/")</f>
        <v>netherlands</v>
      </c>
      <c r="D387" t="str">
        <f>Tabla1[[#This Row],[PAIS]]</f>
        <v>netherlands</v>
      </c>
      <c r="E387" s="8" t="str">
        <f ca="1">IF(VLOOKUP(Tabla1[[#This Row],[PAIS]],$H$2:$I$34,2)="x","SI","NO")</f>
        <v>NO</v>
      </c>
    </row>
    <row r="388" spans="1:5" x14ac:dyDescent="0.3">
      <c r="A388" t="str">
        <f>MID(Tabla1[[#This Row],[ENLACE]],FIND("~",SUBSTITUTE(Tabla1[[#This Row],[ENLACE]],"/","~",2))+1,LEN(Tabla1[[#This Row],[ENLACE]]))</f>
        <v>fortuna-sittard</v>
      </c>
      <c r="B388" s="2" t="s">
        <v>311</v>
      </c>
      <c r="C388" t="str">
        <f>_xlfn.TEXTBEFORE(_xlfn.TEXTAFTER(Tabla1[[#This Row],[ENLACE]],"/",1),"/")</f>
        <v>netherlands</v>
      </c>
      <c r="D388" t="str">
        <f>Tabla1[[#This Row],[PAIS]]</f>
        <v>netherlands</v>
      </c>
      <c r="E388" s="8" t="str">
        <f ca="1">IF(VLOOKUP(Tabla1[[#This Row],[PAIS]],$H$2:$I$34,2)="x","SI","NO")</f>
        <v>NO</v>
      </c>
    </row>
    <row r="389" spans="1:5" x14ac:dyDescent="0.3">
      <c r="A389" t="str">
        <f>MID(Tabla1[[#This Row],[ENLACE]],FIND("~",SUBSTITUTE(Tabla1[[#This Row],[ENLACE]],"/","~",2))+1,LEN(Tabla1[[#This Row],[ENLACE]]))</f>
        <v>sparta-rotterdam</v>
      </c>
      <c r="B389" s="5" t="s">
        <v>312</v>
      </c>
      <c r="C389" t="str">
        <f>_xlfn.TEXTBEFORE(_xlfn.TEXTAFTER(Tabla1[[#This Row],[ENLACE]],"/",1),"/")</f>
        <v>netherlands</v>
      </c>
      <c r="D389" t="str">
        <f>Tabla1[[#This Row],[PAIS]]</f>
        <v>netherlands</v>
      </c>
      <c r="E389" s="8" t="str">
        <f ca="1">IF(VLOOKUP(Tabla1[[#This Row],[PAIS]],$H$2:$I$34,2)="x","SI","NO")</f>
        <v>NO</v>
      </c>
    </row>
    <row r="390" spans="1:5" x14ac:dyDescent="0.3">
      <c r="A390" t="str">
        <f>MID(Tabla1[[#This Row],[ENLACE]],FIND("~",SUBSTITUTE(Tabla1[[#This Row],[ENLACE]],"/","~",2))+1,LEN(Tabla1[[#This Row],[ENLACE]]))</f>
        <v>sc-telstar</v>
      </c>
      <c r="B390" s="2" t="s">
        <v>313</v>
      </c>
      <c r="C390" t="str">
        <f>_xlfn.TEXTBEFORE(_xlfn.TEXTAFTER(Tabla1[[#This Row],[ENLACE]],"/",1),"/")</f>
        <v>netherlands</v>
      </c>
      <c r="D390" t="str">
        <f>Tabla1[[#This Row],[PAIS]]</f>
        <v>netherlands</v>
      </c>
      <c r="E390" s="8" t="str">
        <f ca="1">IF(VLOOKUP(Tabla1[[#This Row],[PAIS]],$H$2:$I$34,2)="x","SI","NO")</f>
        <v>NO</v>
      </c>
    </row>
    <row r="391" spans="1:5" x14ac:dyDescent="0.3">
      <c r="A391" t="str">
        <f>MID(Tabla1[[#This Row],[ENLACE]],FIND("~",SUBSTITUTE(Tabla1[[#This Row],[ENLACE]],"/","~",2))+1,LEN(Tabla1[[#This Row],[ENLACE]]))</f>
        <v>fc-twente</v>
      </c>
      <c r="B391" s="5" t="s">
        <v>314</v>
      </c>
      <c r="C391" t="str">
        <f>_xlfn.TEXTBEFORE(_xlfn.TEXTAFTER(Tabla1[[#This Row],[ENLACE]],"/",1),"/")</f>
        <v>netherlands</v>
      </c>
      <c r="D391" t="str">
        <f>Tabla1[[#This Row],[PAIS]]</f>
        <v>netherlands</v>
      </c>
      <c r="E391" s="8" t="str">
        <f ca="1">IF(VLOOKUP(Tabla1[[#This Row],[PAIS]],$H$2:$I$34,2)="x","SI","NO")</f>
        <v>NO</v>
      </c>
    </row>
    <row r="392" spans="1:5" x14ac:dyDescent="0.3">
      <c r="A392" t="str">
        <f>MID(Tabla1[[#This Row],[ENLACE]],FIND("~",SUBSTITUTE(Tabla1[[#This Row],[ENLACE]],"/","~",2))+1,LEN(Tabla1[[#This Row],[ENLACE]]))</f>
        <v>fc-utrecht</v>
      </c>
      <c r="B392" s="2" t="s">
        <v>315</v>
      </c>
      <c r="C392" t="str">
        <f>_xlfn.TEXTBEFORE(_xlfn.TEXTAFTER(Tabla1[[#This Row],[ENLACE]],"/",1),"/")</f>
        <v>netherlands</v>
      </c>
      <c r="D392" t="str">
        <f>Tabla1[[#This Row],[PAIS]]</f>
        <v>netherlands</v>
      </c>
      <c r="E392" s="8" t="str">
        <f ca="1">IF(VLOOKUP(Tabla1[[#This Row],[PAIS]],$H$2:$I$34,2)="x","SI","NO")</f>
        <v>NO</v>
      </c>
    </row>
    <row r="393" spans="1:5" x14ac:dyDescent="0.3">
      <c r="A393" t="str">
        <f>MID(Tabla1[[#This Row],[ENLACE]],FIND("~",SUBSTITUTE(Tabla1[[#This Row],[ENLACE]],"/","~",2))+1,LEN(Tabla1[[#This Row],[ENLACE]]))</f>
        <v>pec-zwolle</v>
      </c>
      <c r="B393" s="5" t="s">
        <v>316</v>
      </c>
      <c r="C393" t="str">
        <f>_xlfn.TEXTBEFORE(_xlfn.TEXTAFTER(Tabla1[[#This Row],[ENLACE]],"/",1),"/")</f>
        <v>netherlands</v>
      </c>
      <c r="D393" t="str">
        <f>Tabla1[[#This Row],[PAIS]]</f>
        <v>netherlands</v>
      </c>
      <c r="E393" s="8" t="str">
        <f ca="1">IF(VLOOKUP(Tabla1[[#This Row],[PAIS]],$H$2:$I$34,2)="x","SI","NO")</f>
        <v>NO</v>
      </c>
    </row>
    <row r="394" spans="1:5" x14ac:dyDescent="0.3">
      <c r="A394" t="str">
        <f>MID(Tabla1[[#This Row],[ENLACE]],FIND("~",SUBSTITUTE(Tabla1[[#This Row],[ENLACE]],"/","~",2))+1,LEN(Tabla1[[#This Row],[ENLACE]]))</f>
        <v>fk-bodo-glimt</v>
      </c>
      <c r="B394" s="2" t="s">
        <v>317</v>
      </c>
      <c r="C394" t="str">
        <f>_xlfn.TEXTBEFORE(_xlfn.TEXTAFTER(Tabla1[[#This Row],[ENLACE]],"/",1),"/")</f>
        <v>norway</v>
      </c>
      <c r="D394" t="str">
        <f>Tabla1[[#This Row],[PAIS]]</f>
        <v>norway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sk-brann</v>
      </c>
      <c r="B395" s="5" t="s">
        <v>318</v>
      </c>
      <c r="C395" t="str">
        <f>_xlfn.TEXTBEFORE(_xlfn.TEXTAFTER(Tabla1[[#This Row],[ENLACE]],"/",1),"/")</f>
        <v>norway</v>
      </c>
      <c r="D395" t="str">
        <f>Tabla1[[#This Row],[PAIS]]</f>
        <v>norway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bryne-fk</v>
      </c>
      <c r="B396" s="2" t="s">
        <v>319</v>
      </c>
      <c r="C396" t="str">
        <f>_xlfn.TEXTBEFORE(_xlfn.TEXTAFTER(Tabla1[[#This Row],[ENLACE]],"/",1),"/")</f>
        <v>norway</v>
      </c>
      <c r="D396" t="str">
        <f>Tabla1[[#This Row],[PAIS]]</f>
        <v>norway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fredrikstad-fk</v>
      </c>
      <c r="B397" s="5" t="s">
        <v>320</v>
      </c>
      <c r="C397" t="str">
        <f>_xlfn.TEXTBEFORE(_xlfn.TEXTAFTER(Tabla1[[#This Row],[ENLACE]],"/",1),"/")</f>
        <v>norway</v>
      </c>
      <c r="D397" t="str">
        <f>Tabla1[[#This Row],[PAIS]]</f>
        <v>norway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ham-kam</v>
      </c>
      <c r="B398" s="2" t="s">
        <v>321</v>
      </c>
      <c r="C398" t="str">
        <f>_xlfn.TEXTBEFORE(_xlfn.TEXTAFTER(Tabla1[[#This Row],[ENLACE]],"/",1),"/")</f>
        <v>norway</v>
      </c>
      <c r="D398" t="str">
        <f>Tabla1[[#This Row],[PAIS]]</f>
        <v>norway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fk-haugesund</v>
      </c>
      <c r="B399" s="5" t="s">
        <v>322</v>
      </c>
      <c r="C399" t="str">
        <f>_xlfn.TEXTBEFORE(_xlfn.TEXTAFTER(Tabla1[[#This Row],[ENLACE]],"/",1),"/")</f>
        <v>norway</v>
      </c>
      <c r="D399" t="str">
        <f>Tabla1[[#This Row],[PAIS]]</f>
        <v>norway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kfum-kameratene-oslo</v>
      </c>
      <c r="B400" s="2" t="s">
        <v>323</v>
      </c>
      <c r="C400" t="str">
        <f>_xlfn.TEXTBEFORE(_xlfn.TEXTAFTER(Tabla1[[#This Row],[ENLACE]],"/",1),"/")</f>
        <v>norway</v>
      </c>
      <c r="D400" t="str">
        <f>Tabla1[[#This Row],[PAIS]]</f>
        <v>norway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kristiansund-bk</v>
      </c>
      <c r="B401" s="5" t="s">
        <v>324</v>
      </c>
      <c r="C401" t="str">
        <f>_xlfn.TEXTBEFORE(_xlfn.TEXTAFTER(Tabla1[[#This Row],[ENLACE]],"/",1),"/")</f>
        <v>norway</v>
      </c>
      <c r="D401" t="str">
        <f>Tabla1[[#This Row],[PAIS]]</f>
        <v>norway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molde-fk</v>
      </c>
      <c r="B402" s="2" t="s">
        <v>325</v>
      </c>
      <c r="C402" t="str">
        <f>_xlfn.TEXTBEFORE(_xlfn.TEXTAFTER(Tabla1[[#This Row],[ENLACE]],"/",1),"/")</f>
        <v>norway</v>
      </c>
      <c r="D402" t="str">
        <f>Tabla1[[#This Row],[PAIS]]</f>
        <v>norway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rosenborg-bk</v>
      </c>
      <c r="B403" s="5" t="s">
        <v>326</v>
      </c>
      <c r="C403" t="str">
        <f>_xlfn.TEXTBEFORE(_xlfn.TEXTAFTER(Tabla1[[#This Row],[ENLACE]],"/",1),"/")</f>
        <v>norway</v>
      </c>
      <c r="D403" t="str">
        <f>Tabla1[[#This Row],[PAIS]]</f>
        <v>norway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sandefjord-fotball</v>
      </c>
      <c r="B404" s="2" t="s">
        <v>327</v>
      </c>
      <c r="C404" t="str">
        <f>_xlfn.TEXTBEFORE(_xlfn.TEXTAFTER(Tabla1[[#This Row],[ENLACE]],"/",1),"/")</f>
        <v>norway</v>
      </c>
      <c r="D404" t="str">
        <f>Tabla1[[#This Row],[PAIS]]</f>
        <v>norway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sarpsborg-08-ff</v>
      </c>
      <c r="B405" s="5" t="s">
        <v>328</v>
      </c>
      <c r="C405" t="str">
        <f>_xlfn.TEXTBEFORE(_xlfn.TEXTAFTER(Tabla1[[#This Row],[ENLACE]],"/",1),"/")</f>
        <v>norway</v>
      </c>
      <c r="D405" t="str">
        <f>Tabla1[[#This Row],[PAIS]]</f>
        <v>norway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stromsgodset</v>
      </c>
      <c r="B406" s="2" t="s">
        <v>329</v>
      </c>
      <c r="C406" t="str">
        <f>_xlfn.TEXTBEFORE(_xlfn.TEXTAFTER(Tabla1[[#This Row],[ENLACE]],"/",1),"/")</f>
        <v>norway</v>
      </c>
      <c r="D406" t="str">
        <f>Tabla1[[#This Row],[PAIS]]</f>
        <v>norway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tromso-il</v>
      </c>
      <c r="B407" s="5" t="s">
        <v>330</v>
      </c>
      <c r="C407" t="str">
        <f>_xlfn.TEXTBEFORE(_xlfn.TEXTAFTER(Tabla1[[#This Row],[ENLACE]],"/",1),"/")</f>
        <v>norway</v>
      </c>
      <c r="D407" t="str">
        <f>Tabla1[[#This Row],[PAIS]]</f>
        <v>norway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valerenga-fotball</v>
      </c>
      <c r="B408" s="2" t="s">
        <v>331</v>
      </c>
      <c r="C408" t="str">
        <f>_xlfn.TEXTBEFORE(_xlfn.TEXTAFTER(Tabla1[[#This Row],[ENLACE]],"/",1),"/")</f>
        <v>norway</v>
      </c>
      <c r="D408" t="str">
        <f>Tabla1[[#This Row],[PAIS]]</f>
        <v>norway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viking-fk</v>
      </c>
      <c r="B409" s="5" t="s">
        <v>332</v>
      </c>
      <c r="C409" t="str">
        <f>_xlfn.TEXTBEFORE(_xlfn.TEXTAFTER(Tabla1[[#This Row],[ENLACE]],"/",1),"/")</f>
        <v>norway</v>
      </c>
      <c r="D409" t="str">
        <f>Tabla1[[#This Row],[PAIS]]</f>
        <v>norway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alianza-lima</v>
      </c>
      <c r="B410" t="s">
        <v>333</v>
      </c>
      <c r="C410" t="str">
        <f>_xlfn.TEXTBEFORE(_xlfn.TEXTAFTER(Tabla1[[#This Row],[ENLACE]],"/",1),"/")</f>
        <v>peru</v>
      </c>
      <c r="D410" t="str">
        <f>Tabla1[[#This Row],[PAIS]]</f>
        <v>peru</v>
      </c>
      <c r="E410" s="8" t="str">
        <f ca="1">IF(VLOOKUP(Tabla1[[#This Row],[PAIS]],$H$2:$I$34,2)="x","SI","NO")</f>
        <v>NO</v>
      </c>
    </row>
    <row r="411" spans="1:5" x14ac:dyDescent="0.3">
      <c r="A411" t="str">
        <f>MID(Tabla1[[#This Row],[ENLACE]],FIND("~",SUBSTITUTE(Tabla1[[#This Row],[ENLACE]],"/","~",2))+1,LEN(Tabla1[[#This Row],[ENLACE]]))</f>
        <v>asociacion-deportiva-tarma</v>
      </c>
      <c r="B411" t="s">
        <v>334</v>
      </c>
      <c r="C411" t="str">
        <f>_xlfn.TEXTBEFORE(_xlfn.TEXTAFTER(Tabla1[[#This Row],[ENLACE]],"/",1),"/")</f>
        <v>peru</v>
      </c>
      <c r="D411" t="str">
        <f>Tabla1[[#This Row],[PAIS]]</f>
        <v>peru</v>
      </c>
      <c r="E411" s="8" t="str">
        <f ca="1">IF(VLOOKUP(Tabla1[[#This Row],[PAIS]],$H$2:$I$34,2)="x","SI","NO")</f>
        <v>NO</v>
      </c>
    </row>
    <row r="412" spans="1:5" x14ac:dyDescent="0.3">
      <c r="A412" t="str">
        <f>MID(Tabla1[[#This Row],[ENLACE]],FIND("~",SUBSTITUTE(Tabla1[[#This Row],[ENLACE]],"/","~",2))+1,LEN(Tabla1[[#This Row],[ENLACE]]))</f>
        <v>alianza-atletico</v>
      </c>
      <c r="B412" t="s">
        <v>335</v>
      </c>
      <c r="C412" t="str">
        <f>_xlfn.TEXTBEFORE(_xlfn.TEXTAFTER(Tabla1[[#This Row],[ENLACE]],"/",1),"/")</f>
        <v>peru</v>
      </c>
      <c r="D412" t="str">
        <f>Tabla1[[#This Row],[PAIS]]</f>
        <v>peru</v>
      </c>
      <c r="E412" s="8" t="str">
        <f ca="1">IF(VLOOKUP(Tabla1[[#This Row],[PAIS]],$H$2:$I$34,2)="x","SI","NO")</f>
        <v>NO</v>
      </c>
    </row>
    <row r="413" spans="1:5" x14ac:dyDescent="0.3">
      <c r="A413" t="str">
        <f>MID(Tabla1[[#This Row],[ENLACE]],FIND("~",SUBSTITUTE(Tabla1[[#This Row],[ENLACE]],"/","~",2))+1,LEN(Tabla1[[#This Row],[ENLACE]]))</f>
        <v>universidad-tecnica-de-cajamarca</v>
      </c>
      <c r="B413" t="s">
        <v>336</v>
      </c>
      <c r="C413" t="str">
        <f>_xlfn.TEXTBEFORE(_xlfn.TEXTAFTER(Tabla1[[#This Row],[ENLACE]],"/",1),"/")</f>
        <v>peru</v>
      </c>
      <c r="D413" t="str">
        <f>Tabla1[[#This Row],[PAIS]]</f>
        <v>peru</v>
      </c>
      <c r="E413" s="8" t="str">
        <f ca="1">IF(VLOOKUP(Tabla1[[#This Row],[PAIS]],$H$2:$I$34,2)="x","SI","NO")</f>
        <v>NO</v>
      </c>
    </row>
    <row r="414" spans="1:5" x14ac:dyDescent="0.3">
      <c r="A414" t="str">
        <f>MID(Tabla1[[#This Row],[ENLACE]],FIND("~",SUBSTITUTE(Tabla1[[#This Row],[ENLACE]],"/","~",2))+1,LEN(Tabla1[[#This Row],[ENLACE]]))</f>
        <v>club-sportivo-cienciano</v>
      </c>
      <c r="B414" t="s">
        <v>337</v>
      </c>
      <c r="C414" t="str">
        <f>_xlfn.TEXTBEFORE(_xlfn.TEXTAFTER(Tabla1[[#This Row],[ENLACE]],"/",1),"/")</f>
        <v>peru</v>
      </c>
      <c r="D414" t="str">
        <f>Tabla1[[#This Row],[PAIS]]</f>
        <v>peru</v>
      </c>
      <c r="E414" s="8" t="str">
        <f ca="1">IF(VLOOKUP(Tabla1[[#This Row],[PAIS]],$H$2:$I$34,2)="x","SI","NO")</f>
        <v>NO</v>
      </c>
    </row>
    <row r="415" spans="1:5" x14ac:dyDescent="0.3">
      <c r="A415" t="str">
        <f>MID(Tabla1[[#This Row],[ENLACE]],FIND("~",SUBSTITUTE(Tabla1[[#This Row],[ENLACE]],"/","~",2))+1,LEN(Tabla1[[#This Row],[ENLACE]]))</f>
        <v>comerciantes-unidos</v>
      </c>
      <c r="B415" t="s">
        <v>338</v>
      </c>
      <c r="C415" t="str">
        <f>_xlfn.TEXTBEFORE(_xlfn.TEXTAFTER(Tabla1[[#This Row],[ENLACE]],"/",1),"/")</f>
        <v>peru</v>
      </c>
      <c r="D415" t="str">
        <f>Tabla1[[#This Row],[PAIS]]</f>
        <v>peru</v>
      </c>
      <c r="E415" s="8" t="str">
        <f ca="1">IF(VLOOKUP(Tabla1[[#This Row],[PAIS]],$H$2:$I$34,2)="x","SI","NO")</f>
        <v>NO</v>
      </c>
    </row>
    <row r="416" spans="1:5" x14ac:dyDescent="0.3">
      <c r="A416" t="str">
        <f>MID(Tabla1[[#This Row],[ENLACE]],FIND("~",SUBSTITUTE(Tabla1[[#This Row],[ENLACE]],"/","~",2))+1,LEN(Tabla1[[#This Row],[ENLACE]]))</f>
        <v>cusco-fc</v>
      </c>
      <c r="B416" t="s">
        <v>339</v>
      </c>
      <c r="C416" t="str">
        <f>_xlfn.TEXTBEFORE(_xlfn.TEXTAFTER(Tabla1[[#This Row],[ENLACE]],"/",1),"/")</f>
        <v>peru</v>
      </c>
      <c r="D416" t="str">
        <f>Tabla1[[#This Row],[PAIS]]</f>
        <v>peru</v>
      </c>
      <c r="E416" s="8" t="str">
        <f ca="1">IF(VLOOKUP(Tabla1[[#This Row],[PAIS]],$H$2:$I$34,2)="x","SI","NO")</f>
        <v>NO</v>
      </c>
    </row>
    <row r="417" spans="1:5" x14ac:dyDescent="0.3">
      <c r="A417" t="str">
        <f>MID(Tabla1[[#This Row],[ENLACE]],FIND("~",SUBSTITUTE(Tabla1[[#This Row],[ENLACE]],"/","~",2))+1,LEN(Tabla1[[#This Row],[ENLACE]]))</f>
        <v>deportivo-garcilaso</v>
      </c>
      <c r="B417" t="s">
        <v>340</v>
      </c>
      <c r="C417" t="str">
        <f>_xlfn.TEXTBEFORE(_xlfn.TEXTAFTER(Tabla1[[#This Row],[ENLACE]],"/",1),"/")</f>
        <v>peru</v>
      </c>
      <c r="D417" t="str">
        <f>Tabla1[[#This Row],[PAIS]]</f>
        <v>peru</v>
      </c>
      <c r="E417" s="8" t="str">
        <f ca="1">IF(VLOOKUP(Tabla1[[#This Row],[PAIS]],$H$2:$I$34,2)="x","SI","NO")</f>
        <v>NO</v>
      </c>
    </row>
    <row r="418" spans="1:5" x14ac:dyDescent="0.3">
      <c r="A418" t="str">
        <f>MID(Tabla1[[#This Row],[ENLACE]],FIND("~",SUBSTITUTE(Tabla1[[#This Row],[ENLACE]],"/","~",2))+1,LEN(Tabla1[[#This Row],[ENLACE]]))</f>
        <v>fc-cajamarca</v>
      </c>
      <c r="B418" t="s">
        <v>569</v>
      </c>
      <c r="C418" t="str">
        <f>_xlfn.TEXTBEFORE(_xlfn.TEXTAFTER(Tabla1[[#This Row],[ENLACE]],"/",1),"/")</f>
        <v>peru</v>
      </c>
      <c r="D418" t="str">
        <f>Tabla1[[#This Row],[PAIS]]</f>
        <v>peru</v>
      </c>
      <c r="E418" s="8" t="str">
        <f ca="1">IF(VLOOKUP(Tabla1[[#This Row],[PAIS]],$H$2:$I$34,2)="x","SI","NO")</f>
        <v>NO</v>
      </c>
    </row>
    <row r="419" spans="1:5" x14ac:dyDescent="0.3">
      <c r="A419" t="str">
        <f>MID(Tabla1[[#This Row],[ENLACE]],FIND("~",SUBSTITUTE(Tabla1[[#This Row],[ENLACE]],"/","~",2))+1,LEN(Tabla1[[#This Row],[ENLACE]]))</f>
        <v>atletico-grau</v>
      </c>
      <c r="B419" t="s">
        <v>341</v>
      </c>
      <c r="C419" t="str">
        <f>_xlfn.TEXTBEFORE(_xlfn.TEXTAFTER(Tabla1[[#This Row],[ENLACE]],"/",1),"/")</f>
        <v>peru</v>
      </c>
      <c r="D419" t="str">
        <f>Tabla1[[#This Row],[PAIS]]</f>
        <v>peru</v>
      </c>
      <c r="E419" s="8" t="str">
        <f ca="1">IF(VLOOKUP(Tabla1[[#This Row],[PAIS]],$H$2:$I$34,2)="x","SI","NO")</f>
        <v>NO</v>
      </c>
    </row>
    <row r="420" spans="1:5" x14ac:dyDescent="0.3">
      <c r="A420" t="str">
        <f>MID(Tabla1[[#This Row],[ENLACE]],FIND("~",SUBSTITUTE(Tabla1[[#This Row],[ENLACE]],"/","~",2))+1,LEN(Tabla1[[#This Row],[ENLACE]]))</f>
        <v>sport-huancayo</v>
      </c>
      <c r="B420" t="s">
        <v>342</v>
      </c>
      <c r="C420" t="str">
        <f>_xlfn.TEXTBEFORE(_xlfn.TEXTAFTER(Tabla1[[#This Row],[ENLACE]],"/",1),"/")</f>
        <v>peru</v>
      </c>
      <c r="D420" t="str">
        <f>Tabla1[[#This Row],[PAIS]]</f>
        <v>peru</v>
      </c>
      <c r="E420" s="8" t="str">
        <f ca="1">IF(VLOOKUP(Tabla1[[#This Row],[PAIS]],$H$2:$I$34,2)="x","SI","NO")</f>
        <v>NO</v>
      </c>
    </row>
    <row r="421" spans="1:5" x14ac:dyDescent="0.3">
      <c r="A421" t="str">
        <f>MID(Tabla1[[#This Row],[ENLACE]],FIND("~",SUBSTITUTE(Tabla1[[#This Row],[ENLACE]],"/","~",2))+1,LEN(Tabla1[[#This Row],[ENLACE]]))</f>
        <v>adc-juan-pablo-ii-college</v>
      </c>
      <c r="B421" t="s">
        <v>343</v>
      </c>
      <c r="C421" t="str">
        <f>_xlfn.TEXTBEFORE(_xlfn.TEXTAFTER(Tabla1[[#This Row],[ENLACE]],"/",1),"/")</f>
        <v>peru</v>
      </c>
      <c r="D421" t="str">
        <f>Tabla1[[#This Row],[PAIS]]</f>
        <v>peru</v>
      </c>
      <c r="E421" s="8" t="str">
        <f ca="1">IF(VLOOKUP(Tabla1[[#This Row],[PAIS]],$H$2:$I$34,2)="x","SI","NO")</f>
        <v>NO</v>
      </c>
    </row>
    <row r="422" spans="1:5" x14ac:dyDescent="0.3">
      <c r="A422" t="str">
        <f>MID(Tabla1[[#This Row],[ENLACE]],FIND("~",SUBSTITUTE(Tabla1[[#This Row],[ENLACE]],"/","~",2))+1,LEN(Tabla1[[#This Row],[ENLACE]]))</f>
        <v>los-chankas-cyc</v>
      </c>
      <c r="B422" t="s">
        <v>344</v>
      </c>
      <c r="C422" t="str">
        <f>_xlfn.TEXTBEFORE(_xlfn.TEXTAFTER(Tabla1[[#This Row],[ENLACE]],"/",1),"/")</f>
        <v>peru</v>
      </c>
      <c r="D422" t="str">
        <f>Tabla1[[#This Row],[PAIS]]</f>
        <v>peru</v>
      </c>
      <c r="E422" s="8" t="str">
        <f ca="1">IF(VLOOKUP(Tabla1[[#This Row],[PAIS]],$H$2:$I$34,2)="x","SI","NO")</f>
        <v>NO</v>
      </c>
    </row>
    <row r="423" spans="1:5" x14ac:dyDescent="0.3">
      <c r="A423" t="str">
        <f>MID(Tabla1[[#This Row],[ENLACE]],FIND("~",SUBSTITUTE(Tabla1[[#This Row],[ENLACE]],"/","~",2))+1,LEN(Tabla1[[#This Row],[ENLACE]]))</f>
        <v>fbc-melgar</v>
      </c>
      <c r="B423" t="s">
        <v>345</v>
      </c>
      <c r="C423" t="str">
        <f>_xlfn.TEXTBEFORE(_xlfn.TEXTAFTER(Tabla1[[#This Row],[ENLACE]],"/",1),"/")</f>
        <v>peru</v>
      </c>
      <c r="D423" t="str">
        <f>Tabla1[[#This Row],[PAIS]]</f>
        <v>peru</v>
      </c>
      <c r="E423" s="8" t="str">
        <f ca="1">IF(VLOOKUP(Tabla1[[#This Row],[PAIS]],$H$2:$I$34,2)="x","SI","NO")</f>
        <v>NO</v>
      </c>
    </row>
    <row r="424" spans="1:5" x14ac:dyDescent="0.3">
      <c r="A424" t="str">
        <f>MID(Tabla1[[#This Row],[ENLACE]],FIND("~",SUBSTITUTE(Tabla1[[#This Row],[ENLACE]],"/","~",2))+1,LEN(Tabla1[[#This Row],[ENLACE]]))</f>
        <v>club-deportivo-moquegua</v>
      </c>
      <c r="B424" t="s">
        <v>570</v>
      </c>
      <c r="C424" t="str">
        <f>_xlfn.TEXTBEFORE(_xlfn.TEXTAFTER(Tabla1[[#This Row],[ENLACE]],"/",1),"/")</f>
        <v>peru</v>
      </c>
      <c r="D424" t="str">
        <f>Tabla1[[#This Row],[PAIS]]</f>
        <v>peru</v>
      </c>
      <c r="E424" s="8" t="str">
        <f ca="1">IF(VLOOKUP(Tabla1[[#This Row],[PAIS]],$H$2:$I$34,2)="x","SI","NO")</f>
        <v>NO</v>
      </c>
    </row>
    <row r="425" spans="1:5" x14ac:dyDescent="0.3">
      <c r="A425" t="str">
        <f>MID(Tabla1[[#This Row],[ENLACE]],FIND("~",SUBSTITUTE(Tabla1[[#This Row],[ENLACE]],"/","~",2))+1,LEN(Tabla1[[#This Row],[ENLACE]]))</f>
        <v>sport-boys</v>
      </c>
      <c r="B425" t="s">
        <v>346</v>
      </c>
      <c r="C425" t="str">
        <f>_xlfn.TEXTBEFORE(_xlfn.TEXTAFTER(Tabla1[[#This Row],[ENLACE]],"/",1),"/")</f>
        <v>peru</v>
      </c>
      <c r="D425" t="str">
        <f>Tabla1[[#This Row],[PAIS]]</f>
        <v>peru</v>
      </c>
      <c r="E425" s="8" t="str">
        <f ca="1">IF(VLOOKUP(Tabla1[[#This Row],[PAIS]],$H$2:$I$34,2)="x","SI","NO")</f>
        <v>NO</v>
      </c>
    </row>
    <row r="426" spans="1:5" x14ac:dyDescent="0.3">
      <c r="A426" t="str">
        <f>MID(Tabla1[[#This Row],[ENLACE]],FIND("~",SUBSTITUTE(Tabla1[[#This Row],[ENLACE]],"/","~",2))+1,LEN(Tabla1[[#This Row],[ENLACE]]))</f>
        <v>sporting-cristal</v>
      </c>
      <c r="B426" t="s">
        <v>347</v>
      </c>
      <c r="C426" t="str">
        <f>_xlfn.TEXTBEFORE(_xlfn.TEXTAFTER(Tabla1[[#This Row],[ENLACE]],"/",1),"/")</f>
        <v>peru</v>
      </c>
      <c r="D426" t="str">
        <f>Tabla1[[#This Row],[PAIS]]</f>
        <v>peru</v>
      </c>
      <c r="E426" s="8" t="str">
        <f ca="1">IF(VLOOKUP(Tabla1[[#This Row],[PAIS]],$H$2:$I$34,2)="x","SI","NO")</f>
        <v>NO</v>
      </c>
    </row>
    <row r="427" spans="1:5" x14ac:dyDescent="0.3">
      <c r="A427" t="str">
        <f>MID(Tabla1[[#This Row],[ENLACE]],FIND("~",SUBSTITUTE(Tabla1[[#This Row],[ENLACE]],"/","~",2))+1,LEN(Tabla1[[#This Row],[ENLACE]]))</f>
        <v>club-universitario-de-deportes</v>
      </c>
      <c r="B427" t="s">
        <v>348</v>
      </c>
      <c r="C427" t="str">
        <f>_xlfn.TEXTBEFORE(_xlfn.TEXTAFTER(Tabla1[[#This Row],[ENLACE]],"/",1),"/")</f>
        <v>peru</v>
      </c>
      <c r="D427" t="str">
        <f>Tabla1[[#This Row],[PAIS]]</f>
        <v>peru</v>
      </c>
      <c r="E427" s="8" t="str">
        <f ca="1">IF(VLOOKUP(Tabla1[[#This Row],[PAIS]],$H$2:$I$34,2)="x","SI","NO")</f>
        <v>NO</v>
      </c>
    </row>
    <row r="428" spans="1:5" x14ac:dyDescent="0.3">
      <c r="A428" t="str">
        <f>MID(Tabla1[[#This Row],[ENLACE]],FIND("~",SUBSTITUTE(Tabla1[[#This Row],[ENLACE]],"/","~",2))+1,LEN(Tabla1[[#This Row],[ENLACE]]))</f>
        <v>cracovia</v>
      </c>
      <c r="B428" s="5" t="s">
        <v>349</v>
      </c>
      <c r="C428" t="str">
        <f>_xlfn.TEXTBEFORE(_xlfn.TEXTAFTER(Tabla1[[#This Row],[ENLACE]],"/",1),"/")</f>
        <v>poland</v>
      </c>
      <c r="D428" t="str">
        <f>Tabla1[[#This Row],[PAIS]]</f>
        <v>poland</v>
      </c>
      <c r="E428" s="8" t="str">
        <f ca="1">IF(VLOOKUP(Tabla1[[#This Row],[PAIS]],$H$2:$I$34,2)="x","SI","NO")</f>
        <v>NO</v>
      </c>
    </row>
    <row r="429" spans="1:5" x14ac:dyDescent="0.3">
      <c r="A429" t="str">
        <f>MID(Tabla1[[#This Row],[ENLACE]],FIND("~",SUBSTITUTE(Tabla1[[#This Row],[ENLACE]],"/","~",2))+1,LEN(Tabla1[[#This Row],[ENLACE]]))</f>
        <v>gornik-zabrze</v>
      </c>
      <c r="B429" s="2" t="s">
        <v>350</v>
      </c>
      <c r="C429" t="str">
        <f>_xlfn.TEXTBEFORE(_xlfn.TEXTAFTER(Tabla1[[#This Row],[ENLACE]],"/",1),"/")</f>
        <v>poland</v>
      </c>
      <c r="D429" t="str">
        <f>Tabla1[[#This Row],[PAIS]]</f>
        <v>poland</v>
      </c>
      <c r="E429" s="8" t="str">
        <f ca="1">IF(VLOOKUP(Tabla1[[#This Row],[PAIS]],$H$2:$I$34,2)="x","SI","NO")</f>
        <v>NO</v>
      </c>
    </row>
    <row r="430" spans="1:5" x14ac:dyDescent="0.3">
      <c r="A430" t="str">
        <f>MID(Tabla1[[#This Row],[ENLACE]],FIND("~",SUBSTITUTE(Tabla1[[#This Row],[ENLACE]],"/","~",2))+1,LEN(Tabla1[[#This Row],[ENLACE]]))</f>
        <v>jagiellona-bialystok</v>
      </c>
      <c r="B430" s="5" t="s">
        <v>351</v>
      </c>
      <c r="C430" t="str">
        <f>_xlfn.TEXTBEFORE(_xlfn.TEXTAFTER(Tabla1[[#This Row],[ENLACE]],"/",1),"/")</f>
        <v>poland</v>
      </c>
      <c r="D430" t="str">
        <f>Tabla1[[#This Row],[PAIS]]</f>
        <v>poland</v>
      </c>
      <c r="E430" s="8" t="str">
        <f ca="1">IF(VLOOKUP(Tabla1[[#This Row],[PAIS]],$H$2:$I$34,2)="x","SI","NO")</f>
        <v>NO</v>
      </c>
    </row>
    <row r="431" spans="1:5" x14ac:dyDescent="0.3">
      <c r="A431" t="str">
        <f>MID(Tabla1[[#This Row],[ENLACE]],FIND("~",SUBSTITUTE(Tabla1[[#This Row],[ENLACE]],"/","~",2))+1,LEN(Tabla1[[#This Row],[ENLACE]]))</f>
        <v>gks-katowice</v>
      </c>
      <c r="B431" s="2" t="s">
        <v>352</v>
      </c>
      <c r="C431" t="str">
        <f>_xlfn.TEXTBEFORE(_xlfn.TEXTAFTER(Tabla1[[#This Row],[ENLACE]],"/",1),"/")</f>
        <v>poland</v>
      </c>
      <c r="D431" t="str">
        <f>Tabla1[[#This Row],[PAIS]]</f>
        <v>poland</v>
      </c>
      <c r="E431" s="8" t="str">
        <f ca="1">IF(VLOOKUP(Tabla1[[#This Row],[PAIS]],$H$2:$I$34,2)="x","SI","NO")</f>
        <v>NO</v>
      </c>
    </row>
    <row r="432" spans="1:5" x14ac:dyDescent="0.3">
      <c r="A432" t="str">
        <f>MID(Tabla1[[#This Row],[ENLACE]],FIND("~",SUBSTITUTE(Tabla1[[#This Row],[ENLACE]],"/","~",2))+1,LEN(Tabla1[[#This Row],[ENLACE]]))</f>
        <v>korona-kielce</v>
      </c>
      <c r="B432" s="5" t="s">
        <v>353</v>
      </c>
      <c r="C432" t="str">
        <f>_xlfn.TEXTBEFORE(_xlfn.TEXTAFTER(Tabla1[[#This Row],[ENLACE]],"/",1),"/")</f>
        <v>poland</v>
      </c>
      <c r="D432" t="str">
        <f>Tabla1[[#This Row],[PAIS]]</f>
        <v>poland</v>
      </c>
      <c r="E432" s="8" t="str">
        <f ca="1">IF(VLOOKUP(Tabla1[[#This Row],[PAIS]],$H$2:$I$34,2)="x","SI","NO")</f>
        <v>NO</v>
      </c>
    </row>
    <row r="433" spans="1:5" x14ac:dyDescent="0.3">
      <c r="A433" t="str">
        <f>MID(Tabla1[[#This Row],[ENLACE]],FIND("~",SUBSTITUTE(Tabla1[[#This Row],[ENLACE]],"/","~",2))+1,LEN(Tabla1[[#This Row],[ENLACE]]))</f>
        <v>lech-poznan</v>
      </c>
      <c r="B433" s="2" t="s">
        <v>354</v>
      </c>
      <c r="C433" t="str">
        <f>_xlfn.TEXTBEFORE(_xlfn.TEXTAFTER(Tabla1[[#This Row],[ENLACE]],"/",1),"/")</f>
        <v>poland</v>
      </c>
      <c r="D433" t="str">
        <f>Tabla1[[#This Row],[PAIS]]</f>
        <v>poland</v>
      </c>
      <c r="E433" s="8" t="str">
        <f ca="1">IF(VLOOKUP(Tabla1[[#This Row],[PAIS]],$H$2:$I$34,2)="x","SI","NO")</f>
        <v>NO</v>
      </c>
    </row>
    <row r="434" spans="1:5" x14ac:dyDescent="0.3">
      <c r="A434" t="str">
        <f>MID(Tabla1[[#This Row],[ENLACE]],FIND("~",SUBSTITUTE(Tabla1[[#This Row],[ENLACE]],"/","~",2))+1,LEN(Tabla1[[#This Row],[ENLACE]]))</f>
        <v>legia-warsaw</v>
      </c>
      <c r="B434" s="5" t="s">
        <v>355</v>
      </c>
      <c r="C434" t="str">
        <f>_xlfn.TEXTBEFORE(_xlfn.TEXTAFTER(Tabla1[[#This Row],[ENLACE]],"/",1),"/")</f>
        <v>poland</v>
      </c>
      <c r="D434" t="str">
        <f>Tabla1[[#This Row],[PAIS]]</f>
        <v>poland</v>
      </c>
      <c r="E434" s="8" t="str">
        <f ca="1">IF(VLOOKUP(Tabla1[[#This Row],[PAIS]],$H$2:$I$34,2)="x","SI","NO")</f>
        <v>NO</v>
      </c>
    </row>
    <row r="435" spans="1:5" x14ac:dyDescent="0.3">
      <c r="A435" t="str">
        <f>MID(Tabla1[[#This Row],[ENLACE]],FIND("~",SUBSTITUTE(Tabla1[[#This Row],[ENLACE]],"/","~",2))+1,LEN(Tabla1[[#This Row],[ENLACE]]))</f>
        <v>motor-lublin</v>
      </c>
      <c r="B435" s="2" t="s">
        <v>356</v>
      </c>
      <c r="C435" t="str">
        <f>_xlfn.TEXTBEFORE(_xlfn.TEXTAFTER(Tabla1[[#This Row],[ENLACE]],"/",1),"/")</f>
        <v>poland</v>
      </c>
      <c r="D435" t="str">
        <f>Tabla1[[#This Row],[PAIS]]</f>
        <v>poland</v>
      </c>
      <c r="E435" s="8" t="str">
        <f ca="1">IF(VLOOKUP(Tabla1[[#This Row],[PAIS]],$H$2:$I$34,2)="x","SI","NO")</f>
        <v>NO</v>
      </c>
    </row>
    <row r="436" spans="1:5" x14ac:dyDescent="0.3">
      <c r="A436" t="str">
        <f>MID(Tabla1[[#This Row],[ENLACE]],FIND("~",SUBSTITUTE(Tabla1[[#This Row],[ENLACE]],"/","~",2))+1,LEN(Tabla1[[#This Row],[ENLACE]]))</f>
        <v>piast-gliwice</v>
      </c>
      <c r="B436" s="5" t="s">
        <v>357</v>
      </c>
      <c r="C436" t="str">
        <f>_xlfn.TEXTBEFORE(_xlfn.TEXTAFTER(Tabla1[[#This Row],[ENLACE]],"/",1),"/")</f>
        <v>poland</v>
      </c>
      <c r="D436" t="str">
        <f>Tabla1[[#This Row],[PAIS]]</f>
        <v>poland</v>
      </c>
      <c r="E436" s="8" t="str">
        <f ca="1">IF(VLOOKUP(Tabla1[[#This Row],[PAIS]],$H$2:$I$34,2)="x","SI","NO")</f>
        <v>NO</v>
      </c>
    </row>
    <row r="437" spans="1:5" x14ac:dyDescent="0.3">
      <c r="A437" t="str">
        <f>MID(Tabla1[[#This Row],[ENLACE]],FIND("~",SUBSTITUTE(Tabla1[[#This Row],[ENLACE]],"/","~",2))+1,LEN(Tabla1[[#This Row],[ENLACE]]))</f>
        <v>mks-pogon-szczecin</v>
      </c>
      <c r="B437" s="2" t="s">
        <v>358</v>
      </c>
      <c r="C437" t="str">
        <f>_xlfn.TEXTBEFORE(_xlfn.TEXTAFTER(Tabla1[[#This Row],[ENLACE]],"/",1),"/")</f>
        <v>poland</v>
      </c>
      <c r="D437" t="str">
        <f>Tabla1[[#This Row],[PAIS]]</f>
        <v>poland</v>
      </c>
      <c r="E437" s="8" t="str">
        <f ca="1">IF(VLOOKUP(Tabla1[[#This Row],[PAIS]],$H$2:$I$34,2)="x","SI","NO")</f>
        <v>NO</v>
      </c>
    </row>
    <row r="438" spans="1:5" x14ac:dyDescent="0.3">
      <c r="A438" t="str">
        <f>MID(Tabla1[[#This Row],[ENLACE]],FIND("~",SUBSTITUTE(Tabla1[[#This Row],[ENLACE]],"/","~",2))+1,LEN(Tabla1[[#This Row],[ENLACE]]))</f>
        <v>radomiak-radom</v>
      </c>
      <c r="B438" s="5" t="s">
        <v>359</v>
      </c>
      <c r="C438" t="str">
        <f>_xlfn.TEXTBEFORE(_xlfn.TEXTAFTER(Tabla1[[#This Row],[ENLACE]],"/",1),"/")</f>
        <v>poland</v>
      </c>
      <c r="D438" t="str">
        <f>Tabla1[[#This Row],[PAIS]]</f>
        <v>poland</v>
      </c>
      <c r="E438" s="8" t="str">
        <f ca="1">IF(VLOOKUP(Tabla1[[#This Row],[PAIS]],$H$2:$I$34,2)="x","SI","NO")</f>
        <v>NO</v>
      </c>
    </row>
    <row r="439" spans="1:5" x14ac:dyDescent="0.3">
      <c r="A439" t="str">
        <f>MID(Tabla1[[#This Row],[ENLACE]],FIND("~",SUBSTITUTE(Tabla1[[#This Row],[ENLACE]],"/","~",2))+1,LEN(Tabla1[[#This Row],[ENLACE]]))</f>
        <v>rakow-czestochowa</v>
      </c>
      <c r="B439" s="2" t="s">
        <v>360</v>
      </c>
      <c r="C439" t="str">
        <f>_xlfn.TEXTBEFORE(_xlfn.TEXTAFTER(Tabla1[[#This Row],[ENLACE]],"/",1),"/")</f>
        <v>poland</v>
      </c>
      <c r="D439" t="str">
        <f>Tabla1[[#This Row],[PAIS]]</f>
        <v>poland</v>
      </c>
      <c r="E439" s="8" t="str">
        <f ca="1">IF(VLOOKUP(Tabla1[[#This Row],[PAIS]],$H$2:$I$34,2)="x","SI","NO")</f>
        <v>NO</v>
      </c>
    </row>
    <row r="440" spans="1:5" x14ac:dyDescent="0.3">
      <c r="A440" t="str">
        <f>MID(Tabla1[[#This Row],[ENLACE]],FIND("~",SUBSTITUTE(Tabla1[[#This Row],[ENLACE]],"/","~",2))+1,LEN(Tabla1[[#This Row],[ENLACE]]))</f>
        <v>slask-wroclaw</v>
      </c>
      <c r="B440" s="5" t="s">
        <v>621</v>
      </c>
      <c r="C440" t="str">
        <f>_xlfn.TEXTBEFORE(_xlfn.TEXTAFTER(Tabla1[[#This Row],[ENLACE]],"/",1),"/")</f>
        <v>poland</v>
      </c>
      <c r="D440" t="str">
        <f>Tabla1[[#This Row],[PAIS]]</f>
        <v>poland</v>
      </c>
      <c r="E440" s="8" t="str">
        <f ca="1">IF(VLOOKUP(Tabla1[[#This Row],[PAIS]],$H$2:$I$34,2)="x","SI","NO")</f>
        <v>NO</v>
      </c>
    </row>
    <row r="441" spans="1:5" x14ac:dyDescent="0.3">
      <c r="A441" t="str">
        <f>MID(Tabla1[[#This Row],[ENLACE]],FIND("~",SUBSTITUTE(Tabla1[[#This Row],[ENLACE]],"/","~",2))+1,LEN(Tabla1[[#This Row],[ENLACE]]))</f>
        <v>rts-widzew-lodz</v>
      </c>
      <c r="B441" s="2" t="s">
        <v>361</v>
      </c>
      <c r="C441" t="str">
        <f>_xlfn.TEXTBEFORE(_xlfn.TEXTAFTER(Tabla1[[#This Row],[ENLACE]],"/",1),"/")</f>
        <v>poland</v>
      </c>
      <c r="D441" t="str">
        <f>Tabla1[[#This Row],[PAIS]]</f>
        <v>poland</v>
      </c>
      <c r="E441" s="8" t="str">
        <f ca="1">IF(VLOOKUP(Tabla1[[#This Row],[PAIS]],$H$2:$I$34,2)="x","SI","NO")</f>
        <v>NO</v>
      </c>
    </row>
    <row r="442" spans="1:5" x14ac:dyDescent="0.3">
      <c r="A442" t="str">
        <f>MID(Tabla1[[#This Row],[ENLACE]],FIND("~",SUBSTITUTE(Tabla1[[#This Row],[ENLACE]],"/","~",2))+1,LEN(Tabla1[[#This Row],[ENLACE]]))</f>
        <v>ks-wieczysta-krokow</v>
      </c>
      <c r="B442" s="5" t="s">
        <v>622</v>
      </c>
      <c r="C442" t="str">
        <f>_xlfn.TEXTBEFORE(_xlfn.TEXTAFTER(Tabla1[[#This Row],[ENLACE]],"/",1),"/")</f>
        <v>poland</v>
      </c>
      <c r="D442" t="str">
        <f>Tabla1[[#This Row],[PAIS]]</f>
        <v>poland</v>
      </c>
      <c r="E442" s="8" t="str">
        <f ca="1">IF(VLOOKUP(Tabla1[[#This Row],[PAIS]],$H$2:$I$34,2)="x","SI","NO")</f>
        <v>NO</v>
      </c>
    </row>
    <row r="443" spans="1:5" x14ac:dyDescent="0.3">
      <c r="A443" t="str">
        <f>MID(Tabla1[[#This Row],[ENLACE]],FIND("~",SUBSTITUTE(Tabla1[[#This Row],[ENLACE]],"/","~",2))+1,LEN(Tabla1[[#This Row],[ENLACE]]))</f>
        <v>wisla-krakow</v>
      </c>
      <c r="B443" s="2" t="s">
        <v>623</v>
      </c>
      <c r="C443" t="str">
        <f>_xlfn.TEXTBEFORE(_xlfn.TEXTAFTER(Tabla1[[#This Row],[ENLACE]],"/",1),"/")</f>
        <v>poland</v>
      </c>
      <c r="D443" t="str">
        <f>Tabla1[[#This Row],[PAIS]]</f>
        <v>poland</v>
      </c>
      <c r="E443" s="8" t="str">
        <f ca="1">IF(VLOOKUP(Tabla1[[#This Row],[PAIS]],$H$2:$I$34,2)="x","SI","NO")</f>
        <v>NO</v>
      </c>
    </row>
    <row r="444" spans="1:5" x14ac:dyDescent="0.3">
      <c r="A444" t="str">
        <f>MID(Tabla1[[#This Row],[ENLACE]],FIND("~",SUBSTITUTE(Tabla1[[#This Row],[ENLACE]],"/","~",2))+1,LEN(Tabla1[[#This Row],[ENLACE]]))</f>
        <v>wisla-plock</v>
      </c>
      <c r="B444" s="5" t="s">
        <v>362</v>
      </c>
      <c r="C444" t="str">
        <f>_xlfn.TEXTBEFORE(_xlfn.TEXTAFTER(Tabla1[[#This Row],[ENLACE]],"/",1),"/")</f>
        <v>poland</v>
      </c>
      <c r="D444" t="str">
        <f>Tabla1[[#This Row],[PAIS]]</f>
        <v>poland</v>
      </c>
      <c r="E444" s="8" t="str">
        <f ca="1">IF(VLOOKUP(Tabla1[[#This Row],[PAIS]],$H$2:$I$34,2)="x","SI","NO")</f>
        <v>NO</v>
      </c>
    </row>
    <row r="445" spans="1:5" x14ac:dyDescent="0.3">
      <c r="A445" t="str">
        <f>MID(Tabla1[[#This Row],[ENLACE]],FIND("~",SUBSTITUTE(Tabla1[[#This Row],[ENLACE]],"/","~",2))+1,LEN(Tabla1[[#This Row],[ENLACE]]))</f>
        <v>zaglebie-lubin</v>
      </c>
      <c r="B445" s="2" t="s">
        <v>363</v>
      </c>
      <c r="C445" t="str">
        <f>_xlfn.TEXTBEFORE(_xlfn.TEXTAFTER(Tabla1[[#This Row],[ENLACE]],"/",1),"/")</f>
        <v>poland</v>
      </c>
      <c r="D445" t="str">
        <f>Tabla1[[#This Row],[PAIS]]</f>
        <v>poland</v>
      </c>
      <c r="E445" s="8" t="str">
        <f ca="1">IF(VLOOKUP(Tabla1[[#This Row],[PAIS]],$H$2:$I$34,2)="x","SI","NO")</f>
        <v>NO</v>
      </c>
    </row>
    <row r="446" spans="1:5" x14ac:dyDescent="0.3">
      <c r="A446" t="str">
        <f>MID(Tabla1[[#This Row],[ENLACE]],FIND("~",SUBSTITUTE(Tabla1[[#This Row],[ENLACE]],"/","~",2))+1,LEN(Tabla1[[#This Row],[ENLACE]]))</f>
        <v>avs-futebol-sad</v>
      </c>
      <c r="B446" s="5" t="s">
        <v>364</v>
      </c>
      <c r="C446" t="str">
        <f>_xlfn.TEXTBEFORE(_xlfn.TEXTAFTER(Tabla1[[#This Row],[ENLACE]],"/",1),"/")</f>
        <v>portugal</v>
      </c>
      <c r="D446" t="str">
        <f>Tabla1[[#This Row],[PAIS]]</f>
        <v>portugal</v>
      </c>
      <c r="E446" s="8" t="str">
        <f ca="1">IF(VLOOKUP(Tabla1[[#This Row],[PAIS]],$H$2:$I$34,2)="x","SI","NO")</f>
        <v>NO</v>
      </c>
    </row>
    <row r="447" spans="1:5" x14ac:dyDescent="0.3">
      <c r="A447" t="str">
        <f>MID(Tabla1[[#This Row],[ENLACE]],FIND("~",SUBSTITUTE(Tabla1[[#This Row],[ENLACE]],"/","~",2))+1,LEN(Tabla1[[#This Row],[ENLACE]]))</f>
        <v>fc-alverca</v>
      </c>
      <c r="B447" s="2" t="s">
        <v>365</v>
      </c>
      <c r="C447" t="str">
        <f>_xlfn.TEXTBEFORE(_xlfn.TEXTAFTER(Tabla1[[#This Row],[ENLACE]],"/",1),"/")</f>
        <v>portugal</v>
      </c>
      <c r="D447" t="str">
        <f>Tabla1[[#This Row],[PAIS]]</f>
        <v>portugal</v>
      </c>
      <c r="E447" s="8" t="str">
        <f ca="1">IF(VLOOKUP(Tabla1[[#This Row],[PAIS]],$H$2:$I$34,2)="x","SI","NO")</f>
        <v>NO</v>
      </c>
    </row>
    <row r="448" spans="1:5" x14ac:dyDescent="0.3">
      <c r="A448" t="str">
        <f>MID(Tabla1[[#This Row],[ENLACE]],FIND("~",SUBSTITUTE(Tabla1[[#This Row],[ENLACE]],"/","~",2))+1,LEN(Tabla1[[#This Row],[ENLACE]]))</f>
        <v>fc-arouca</v>
      </c>
      <c r="B448" s="5" t="s">
        <v>366</v>
      </c>
      <c r="C448" t="str">
        <f>_xlfn.TEXTBEFORE(_xlfn.TEXTAFTER(Tabla1[[#This Row],[ENLACE]],"/",1),"/")</f>
        <v>portugal</v>
      </c>
      <c r="D448" t="str">
        <f>Tabla1[[#This Row],[PAIS]]</f>
        <v>portugal</v>
      </c>
      <c r="E448" s="8" t="str">
        <f ca="1">IF(VLOOKUP(Tabla1[[#This Row],[PAIS]],$H$2:$I$34,2)="x","SI","NO")</f>
        <v>NO</v>
      </c>
    </row>
    <row r="449" spans="1:5" x14ac:dyDescent="0.3">
      <c r="A449" t="str">
        <f>MID(Tabla1[[#This Row],[ENLACE]],FIND("~",SUBSTITUTE(Tabla1[[#This Row],[ENLACE]],"/","~",2))+1,LEN(Tabla1[[#This Row],[ENLACE]]))</f>
        <v>benfica</v>
      </c>
      <c r="B449" s="2" t="s">
        <v>367</v>
      </c>
      <c r="C449" t="str">
        <f>_xlfn.TEXTBEFORE(_xlfn.TEXTAFTER(Tabla1[[#This Row],[ENLACE]],"/",1),"/")</f>
        <v>portugal</v>
      </c>
      <c r="D449" t="str">
        <f>Tabla1[[#This Row],[PAIS]]</f>
        <v>portugal</v>
      </c>
      <c r="E449" s="8" t="str">
        <f ca="1">IF(VLOOKUP(Tabla1[[#This Row],[PAIS]],$H$2:$I$34,2)="x","SI","NO")</f>
        <v>NO</v>
      </c>
    </row>
    <row r="450" spans="1:5" x14ac:dyDescent="0.3">
      <c r="A450" t="str">
        <f>MID(Tabla1[[#This Row],[ENLACE]],FIND("~",SUBSTITUTE(Tabla1[[#This Row],[ENLACE]],"/","~",2))+1,LEN(Tabla1[[#This Row],[ENLACE]]))</f>
        <v>braga</v>
      </c>
      <c r="B450" s="5" t="s">
        <v>368</v>
      </c>
      <c r="C450" t="str">
        <f>_xlfn.TEXTBEFORE(_xlfn.TEXTAFTER(Tabla1[[#This Row],[ENLACE]],"/",1),"/")</f>
        <v>portugal</v>
      </c>
      <c r="D450" t="str">
        <f>Tabla1[[#This Row],[PAIS]]</f>
        <v>portugal</v>
      </c>
      <c r="E450" s="8" t="str">
        <f ca="1">IF(VLOOKUP(Tabla1[[#This Row],[PAIS]],$H$2:$I$34,2)="x","SI","NO")</f>
        <v>NO</v>
      </c>
    </row>
    <row r="451" spans="1:5" x14ac:dyDescent="0.3">
      <c r="A451" t="str">
        <f>MID(Tabla1[[#This Row],[ENLACE]],FIND("~",SUBSTITUTE(Tabla1[[#This Row],[ENLACE]],"/","~",2))+1,LEN(Tabla1[[#This Row],[ENLACE]]))</f>
        <v>casa-pia-ac</v>
      </c>
      <c r="B451" s="2" t="s">
        <v>369</v>
      </c>
      <c r="C451" t="str">
        <f>_xlfn.TEXTBEFORE(_xlfn.TEXTAFTER(Tabla1[[#This Row],[ENLACE]],"/",1),"/")</f>
        <v>portugal</v>
      </c>
      <c r="D451" t="str">
        <f>Tabla1[[#This Row],[PAIS]]</f>
        <v>portugal</v>
      </c>
      <c r="E451" s="8" t="str">
        <f ca="1">IF(VLOOKUP(Tabla1[[#This Row],[PAIS]],$H$2:$I$34,2)="x","SI","NO")</f>
        <v>NO</v>
      </c>
    </row>
    <row r="452" spans="1:5" x14ac:dyDescent="0.3">
      <c r="A452" t="str">
        <f>MID(Tabla1[[#This Row],[ENLACE]],FIND("~",SUBSTITUTE(Tabla1[[#This Row],[ENLACE]],"/","~",2))+1,LEN(Tabla1[[#This Row],[ENLACE]]))</f>
        <v>gd-estoril-praia</v>
      </c>
      <c r="B452" s="5" t="s">
        <v>370</v>
      </c>
      <c r="C452" t="str">
        <f>_xlfn.TEXTBEFORE(_xlfn.TEXTAFTER(Tabla1[[#This Row],[ENLACE]],"/",1),"/")</f>
        <v>portugal</v>
      </c>
      <c r="D452" t="str">
        <f>Tabla1[[#This Row],[PAIS]]</f>
        <v>portugal</v>
      </c>
      <c r="E452" s="8" t="str">
        <f ca="1">IF(VLOOKUP(Tabla1[[#This Row],[PAIS]],$H$2:$I$34,2)="x","SI","NO")</f>
        <v>NO</v>
      </c>
    </row>
    <row r="453" spans="1:5" x14ac:dyDescent="0.3">
      <c r="A453" t="str">
        <f>MID(Tabla1[[#This Row],[ENLACE]],FIND("~",SUBSTITUTE(Tabla1[[#This Row],[ENLACE]],"/","~",2))+1,LEN(Tabla1[[#This Row],[ENLACE]]))</f>
        <v>cf-estrela-da-amadora</v>
      </c>
      <c r="B453" s="2" t="s">
        <v>371</v>
      </c>
      <c r="C453" t="str">
        <f>_xlfn.TEXTBEFORE(_xlfn.TEXTAFTER(Tabla1[[#This Row],[ENLACE]],"/",1),"/")</f>
        <v>portugal</v>
      </c>
      <c r="D453" t="str">
        <f>Tabla1[[#This Row],[PAIS]]</f>
        <v>portugal</v>
      </c>
      <c r="E453" s="8" t="str">
        <f ca="1">IF(VLOOKUP(Tabla1[[#This Row],[PAIS]],$H$2:$I$34,2)="x","SI","NO")</f>
        <v>NO</v>
      </c>
    </row>
    <row r="454" spans="1:5" x14ac:dyDescent="0.3">
      <c r="A454" t="str">
        <f>MID(Tabla1[[#This Row],[ENLACE]],FIND("~",SUBSTITUTE(Tabla1[[#This Row],[ENLACE]],"/","~",2))+1,LEN(Tabla1[[#This Row],[ENLACE]]))</f>
        <v>famalicao</v>
      </c>
      <c r="B454" s="5" t="s">
        <v>372</v>
      </c>
      <c r="C454" t="str">
        <f>_xlfn.TEXTBEFORE(_xlfn.TEXTAFTER(Tabla1[[#This Row],[ENLACE]],"/",1),"/")</f>
        <v>portugal</v>
      </c>
      <c r="D454" t="str">
        <f>Tabla1[[#This Row],[PAIS]]</f>
        <v>portugal</v>
      </c>
      <c r="E454" s="8" t="str">
        <f ca="1">IF(VLOOKUP(Tabla1[[#This Row],[PAIS]],$H$2:$I$34,2)="x","SI","NO")</f>
        <v>NO</v>
      </c>
    </row>
    <row r="455" spans="1:5" x14ac:dyDescent="0.3">
      <c r="A455" t="str">
        <f>MID(Tabla1[[#This Row],[ENLACE]],FIND("~",SUBSTITUTE(Tabla1[[#This Row],[ENLACE]],"/","~",2))+1,LEN(Tabla1[[#This Row],[ENLACE]]))</f>
        <v>fc-porto</v>
      </c>
      <c r="B455" s="2" t="s">
        <v>373</v>
      </c>
      <c r="C455" t="str">
        <f>_xlfn.TEXTBEFORE(_xlfn.TEXTAFTER(Tabla1[[#This Row],[ENLACE]],"/",1),"/")</f>
        <v>portugal</v>
      </c>
      <c r="D455" t="str">
        <f>Tabla1[[#This Row],[PAIS]]</f>
        <v>portugal</v>
      </c>
      <c r="E455" s="8" t="str">
        <f ca="1">IF(VLOOKUP(Tabla1[[#This Row],[PAIS]],$H$2:$I$34,2)="x","SI","NO")</f>
        <v>NO</v>
      </c>
    </row>
    <row r="456" spans="1:5" x14ac:dyDescent="0.3">
      <c r="A456" t="str">
        <f>MID(Tabla1[[#This Row],[ENLACE]],FIND("~",SUBSTITUTE(Tabla1[[#This Row],[ENLACE]],"/","~",2))+1,LEN(Tabla1[[#This Row],[ENLACE]]))</f>
        <v>gil-vicente</v>
      </c>
      <c r="B456" s="5" t="s">
        <v>374</v>
      </c>
      <c r="C456" t="str">
        <f>_xlfn.TEXTBEFORE(_xlfn.TEXTAFTER(Tabla1[[#This Row],[ENLACE]],"/",1),"/")</f>
        <v>portugal</v>
      </c>
      <c r="D456" t="str">
        <f>Tabla1[[#This Row],[PAIS]]</f>
        <v>portugal</v>
      </c>
      <c r="E456" s="8" t="str">
        <f ca="1">IF(VLOOKUP(Tabla1[[#This Row],[PAIS]],$H$2:$I$34,2)="x","SI","NO")</f>
        <v>NO</v>
      </c>
    </row>
    <row r="457" spans="1:5" x14ac:dyDescent="0.3">
      <c r="A457" t="str">
        <f>MID(Tabla1[[#This Row],[ENLACE]],FIND("~",SUBSTITUTE(Tabla1[[#This Row],[ENLACE]],"/","~",2))+1,LEN(Tabla1[[#This Row],[ENLACE]]))</f>
        <v>vitoria-de-guimaraes</v>
      </c>
      <c r="B457" s="2" t="s">
        <v>375</v>
      </c>
      <c r="C457" t="str">
        <f>_xlfn.TEXTBEFORE(_xlfn.TEXTAFTER(Tabla1[[#This Row],[ENLACE]],"/",1),"/")</f>
        <v>portugal</v>
      </c>
      <c r="D457" t="str">
        <f>Tabla1[[#This Row],[PAIS]]</f>
        <v>portugal</v>
      </c>
      <c r="E457" s="8" t="str">
        <f ca="1">IF(VLOOKUP(Tabla1[[#This Row],[PAIS]],$H$2:$I$34,2)="x","SI","NO")</f>
        <v>NO</v>
      </c>
    </row>
    <row r="458" spans="1:5" x14ac:dyDescent="0.3">
      <c r="A458" t="str">
        <f>MID(Tabla1[[#This Row],[ENLACE]],FIND("~",SUBSTITUTE(Tabla1[[#This Row],[ENLACE]],"/","~",2))+1,LEN(Tabla1[[#This Row],[ENLACE]]))</f>
        <v>moreirense-fc</v>
      </c>
      <c r="B458" s="5" t="s">
        <v>376</v>
      </c>
      <c r="C458" t="str">
        <f>_xlfn.TEXTBEFORE(_xlfn.TEXTAFTER(Tabla1[[#This Row],[ENLACE]],"/",1),"/")</f>
        <v>portugal</v>
      </c>
      <c r="D458" t="str">
        <f>Tabla1[[#This Row],[PAIS]]</f>
        <v>portugal</v>
      </c>
      <c r="E458" s="8" t="str">
        <f ca="1">IF(VLOOKUP(Tabla1[[#This Row],[PAIS]],$H$2:$I$34,2)="x","SI","NO")</f>
        <v>NO</v>
      </c>
    </row>
    <row r="459" spans="1:5" x14ac:dyDescent="0.3">
      <c r="A459" t="str">
        <f>MID(Tabla1[[#This Row],[ENLACE]],FIND("~",SUBSTITUTE(Tabla1[[#This Row],[ENLACE]],"/","~",2))+1,LEN(Tabla1[[#This Row],[ENLACE]]))</f>
        <v>cd-nacional</v>
      </c>
      <c r="B459" s="2" t="s">
        <v>377</v>
      </c>
      <c r="C459" t="str">
        <f>_xlfn.TEXTBEFORE(_xlfn.TEXTAFTER(Tabla1[[#This Row],[ENLACE]],"/",1),"/")</f>
        <v>portugal</v>
      </c>
      <c r="D459" t="str">
        <f>Tabla1[[#This Row],[PAIS]]</f>
        <v>portugal</v>
      </c>
      <c r="E459" s="8" t="str">
        <f ca="1">IF(VLOOKUP(Tabla1[[#This Row],[PAIS]],$H$2:$I$34,2)="x","SI","NO")</f>
        <v>NO</v>
      </c>
    </row>
    <row r="460" spans="1:5" x14ac:dyDescent="0.3">
      <c r="A460" t="str">
        <f>MID(Tabla1[[#This Row],[ENLACE]],FIND("~",SUBSTITUTE(Tabla1[[#This Row],[ENLACE]],"/","~",2))+1,LEN(Tabla1[[#This Row],[ENLACE]]))</f>
        <v>rio-ave-fc</v>
      </c>
      <c r="B460" s="5" t="s">
        <v>378</v>
      </c>
      <c r="C460" t="str">
        <f>_xlfn.TEXTBEFORE(_xlfn.TEXTAFTER(Tabla1[[#This Row],[ENLACE]],"/",1),"/")</f>
        <v>portugal</v>
      </c>
      <c r="D460" t="str">
        <f>Tabla1[[#This Row],[PAIS]]</f>
        <v>portugal</v>
      </c>
      <c r="E460" s="8" t="str">
        <f ca="1">IF(VLOOKUP(Tabla1[[#This Row],[PAIS]],$H$2:$I$34,2)="x","SI","NO")</f>
        <v>NO</v>
      </c>
    </row>
    <row r="461" spans="1:5" x14ac:dyDescent="0.3">
      <c r="A461" t="str">
        <f>MID(Tabla1[[#This Row],[ENLACE]],FIND("~",SUBSTITUTE(Tabla1[[#This Row],[ENLACE]],"/","~",2))+1,LEN(Tabla1[[#This Row],[ENLACE]]))</f>
        <v>santa-clara</v>
      </c>
      <c r="B461" s="2" t="s">
        <v>379</v>
      </c>
      <c r="C461" t="str">
        <f>_xlfn.TEXTBEFORE(_xlfn.TEXTAFTER(Tabla1[[#This Row],[ENLACE]],"/",1),"/")</f>
        <v>portugal</v>
      </c>
      <c r="D461" t="str">
        <f>Tabla1[[#This Row],[PAIS]]</f>
        <v>portugal</v>
      </c>
      <c r="E461" s="8" t="str">
        <f ca="1">IF(VLOOKUP(Tabla1[[#This Row],[PAIS]],$H$2:$I$34,2)="x","SI","NO")</f>
        <v>NO</v>
      </c>
    </row>
    <row r="462" spans="1:5" x14ac:dyDescent="0.3">
      <c r="A462" t="str">
        <f>MID(Tabla1[[#This Row],[ENLACE]],FIND("~",SUBSTITUTE(Tabla1[[#This Row],[ENLACE]],"/","~",2))+1,LEN(Tabla1[[#This Row],[ENLACE]]))</f>
        <v>sporting-cp</v>
      </c>
      <c r="B462" s="5" t="s">
        <v>380</v>
      </c>
      <c r="C462" t="str">
        <f>_xlfn.TEXTBEFORE(_xlfn.TEXTAFTER(Tabla1[[#This Row],[ENLACE]],"/",1),"/")</f>
        <v>portugal</v>
      </c>
      <c r="D462" t="str">
        <f>Tabla1[[#This Row],[PAIS]]</f>
        <v>portugal</v>
      </c>
      <c r="E462" s="8" t="str">
        <f ca="1">IF(VLOOKUP(Tabla1[[#This Row],[PAIS]],$H$2:$I$34,2)="x","SI","NO")</f>
        <v>NO</v>
      </c>
    </row>
    <row r="463" spans="1:5" x14ac:dyDescent="0.3">
      <c r="A463" t="str">
        <f>MID(Tabla1[[#This Row],[ENLACE]],FIND("~",SUBSTITUTE(Tabla1[[#This Row],[ENLACE]],"/","~",2))+1,LEN(Tabla1[[#This Row],[ENLACE]]))</f>
        <v>cd-tondela</v>
      </c>
      <c r="B463" s="2" t="s">
        <v>381</v>
      </c>
      <c r="C463" t="str">
        <f>_xlfn.TEXTBEFORE(_xlfn.TEXTAFTER(Tabla1[[#This Row],[ENLACE]],"/",1),"/")</f>
        <v>portugal</v>
      </c>
      <c r="D463" t="str">
        <f>Tabla1[[#This Row],[PAIS]]</f>
        <v>portugal</v>
      </c>
      <c r="E463" s="8" t="str">
        <f ca="1">IF(VLOOKUP(Tabla1[[#This Row],[PAIS]],$H$2:$I$34,2)="x","SI","NO")</f>
        <v>NO</v>
      </c>
    </row>
    <row r="464" spans="1:5" x14ac:dyDescent="0.3">
      <c r="A464" t="str">
        <f>MID(Tabla1[[#This Row],[ENLACE]],FIND("~",SUBSTITUTE(Tabla1[[#This Row],[ENLACE]],"/","~",2))+1,LEN(Tabla1[[#This Row],[ENLACE]]))</f>
        <v>fc-botosani</v>
      </c>
      <c r="B464" s="5" t="s">
        <v>382</v>
      </c>
      <c r="C464" t="str">
        <f>_xlfn.TEXTBEFORE(_xlfn.TEXTAFTER(Tabla1[[#This Row],[ENLACE]],"/",1),"/")</f>
        <v>romania</v>
      </c>
      <c r="D464" t="str">
        <f>Tabla1[[#This Row],[PAIS]]</f>
        <v>romania</v>
      </c>
      <c r="E464" s="8" t="str">
        <f ca="1">IF(VLOOKUP(Tabla1[[#This Row],[PAIS]],$H$2:$I$34,2)="x","SI","NO")</f>
        <v>NO</v>
      </c>
    </row>
    <row r="465" spans="1:5" x14ac:dyDescent="0.3">
      <c r="A465" t="str">
        <f>MID(Tabla1[[#This Row],[ENLACE]],FIND("~",SUBSTITUTE(Tabla1[[#This Row],[ENLACE]],"/","~",2))+1,LEN(Tabla1[[#This Row],[ENLACE]]))</f>
        <v>cfr-cluj</v>
      </c>
      <c r="B465" s="2" t="s">
        <v>383</v>
      </c>
      <c r="C465" t="str">
        <f>_xlfn.TEXTBEFORE(_xlfn.TEXTAFTER(Tabla1[[#This Row],[ENLACE]],"/",1),"/")</f>
        <v>romania</v>
      </c>
      <c r="D465" t="str">
        <f>Tabla1[[#This Row],[PAIS]]</f>
        <v>romania</v>
      </c>
      <c r="E465" s="8" t="str">
        <f ca="1">IF(VLOOKUP(Tabla1[[#This Row],[PAIS]],$H$2:$I$34,2)="x","SI","NO")</f>
        <v>NO</v>
      </c>
    </row>
    <row r="466" spans="1:5" x14ac:dyDescent="0.3">
      <c r="A466" t="str">
        <f>MID(Tabla1[[#This Row],[ENLACE]],FIND("~",SUBSTITUTE(Tabla1[[#This Row],[ENLACE]],"/","~",2))+1,LEN(Tabla1[[#This Row],[ENLACE]]))</f>
        <v>corvinul-hunedoara</v>
      </c>
      <c r="B466" s="5" t="s">
        <v>624</v>
      </c>
      <c r="C466" t="str">
        <f>_xlfn.TEXTBEFORE(_xlfn.TEXTAFTER(Tabla1[[#This Row],[ENLACE]],"/",1),"/")</f>
        <v>romania</v>
      </c>
      <c r="D466" t="str">
        <f>Tabla1[[#This Row],[PAIS]]</f>
        <v>romania</v>
      </c>
      <c r="E466" s="8" t="str">
        <f ca="1">IF(VLOOKUP(Tabla1[[#This Row],[PAIS]],$H$2:$I$34,2)="x","SI","NO")</f>
        <v>NO</v>
      </c>
    </row>
    <row r="467" spans="1:5" x14ac:dyDescent="0.3">
      <c r="A467" t="str">
        <f>MID(Tabla1[[#This Row],[ENLACE]],FIND("~",SUBSTITUTE(Tabla1[[#This Row],[ENLACE]],"/","~",2))+1,LEN(Tabla1[[#This Row],[ENLACE]]))</f>
        <v>fk-miercurea-ciuc</v>
      </c>
      <c r="B467" s="2" t="s">
        <v>384</v>
      </c>
      <c r="C467" t="str">
        <f>_xlfn.TEXTBEFORE(_xlfn.TEXTAFTER(Tabla1[[#This Row],[ENLACE]],"/",1),"/")</f>
        <v>romania</v>
      </c>
      <c r="D467" t="str">
        <f>Tabla1[[#This Row],[PAIS]]</f>
        <v>romania</v>
      </c>
      <c r="E467" s="8" t="str">
        <f ca="1">IF(VLOOKUP(Tabla1[[#This Row],[PAIS]],$H$2:$I$34,2)="x","SI","NO")</f>
        <v>NO</v>
      </c>
    </row>
    <row r="468" spans="1:5" x14ac:dyDescent="0.3">
      <c r="A468" t="str">
        <f>MID(Tabla1[[#This Row],[ENLACE]],FIND("~",SUBSTITUTE(Tabla1[[#This Row],[ENLACE]],"/","~",2))+1,LEN(Tabla1[[#This Row],[ENLACE]]))</f>
        <v>fc-dinamo-bucuresti</v>
      </c>
      <c r="B468" s="5" t="s">
        <v>385</v>
      </c>
      <c r="C468" t="str">
        <f>_xlfn.TEXTBEFORE(_xlfn.TEXTAFTER(Tabla1[[#This Row],[ENLACE]],"/",1),"/")</f>
        <v>romania</v>
      </c>
      <c r="D468" t="str">
        <f>Tabla1[[#This Row],[PAIS]]</f>
        <v>romania</v>
      </c>
      <c r="E468" s="8" t="str">
        <f ca="1">IF(VLOOKUP(Tabla1[[#This Row],[PAIS]],$H$2:$I$34,2)="x","SI","NO")</f>
        <v>NO</v>
      </c>
    </row>
    <row r="469" spans="1:5" x14ac:dyDescent="0.3">
      <c r="A469" t="str">
        <f>MID(Tabla1[[#This Row],[ENLACE]],FIND("~",SUBSTITUTE(Tabla1[[#This Row],[ENLACE]],"/","~",2))+1,LEN(Tabla1[[#This Row],[ENLACE]]))</f>
        <v>fc-farul-constanta</v>
      </c>
      <c r="B469" s="2" t="s">
        <v>386</v>
      </c>
      <c r="C469" t="str">
        <f>_xlfn.TEXTBEFORE(_xlfn.TEXTAFTER(Tabla1[[#This Row],[ENLACE]],"/",1),"/")</f>
        <v>romania</v>
      </c>
      <c r="D469" t="str">
        <f>Tabla1[[#This Row],[PAIS]]</f>
        <v>romania</v>
      </c>
      <c r="E469" s="8" t="str">
        <f ca="1">IF(VLOOKUP(Tabla1[[#This Row],[PAIS]],$H$2:$I$34,2)="x","SI","NO")</f>
        <v>NO</v>
      </c>
    </row>
    <row r="470" spans="1:5" x14ac:dyDescent="0.3">
      <c r="A470" t="str">
        <f>MID(Tabla1[[#This Row],[ENLACE]],FIND("~",SUBSTITUTE(Tabla1[[#This Row],[ENLACE]],"/","~",2))+1,LEN(Tabla1[[#This Row],[ENLACE]]))</f>
        <v>fc-arges-pitesti</v>
      </c>
      <c r="B470" s="5" t="s">
        <v>387</v>
      </c>
      <c r="C470" t="str">
        <f>_xlfn.TEXTBEFORE(_xlfn.TEXTAFTER(Tabla1[[#This Row],[ENLACE]],"/",1),"/")</f>
        <v>romania</v>
      </c>
      <c r="D470" t="str">
        <f>Tabla1[[#This Row],[PAIS]]</f>
        <v>romania</v>
      </c>
      <c r="E470" s="8" t="str">
        <f ca="1">IF(VLOOKUP(Tabla1[[#This Row],[PAIS]],$H$2:$I$34,2)="x","SI","NO")</f>
        <v>NO</v>
      </c>
    </row>
    <row r="471" spans="1:5" x14ac:dyDescent="0.3">
      <c r="A471" t="str">
        <f>MID(Tabla1[[#This Row],[ENLACE]],FIND("~",SUBSTITUTE(Tabla1[[#This Row],[ENLACE]],"/","~",2))+1,LEN(Tabla1[[#This Row],[ENLACE]]))</f>
        <v>fc-rapid-bucuresti</v>
      </c>
      <c r="B471" s="2" t="s">
        <v>388</v>
      </c>
      <c r="C471" t="str">
        <f>_xlfn.TEXTBEFORE(_xlfn.TEXTAFTER(Tabla1[[#This Row],[ENLACE]],"/",1),"/")</f>
        <v>romania</v>
      </c>
      <c r="D471" t="str">
        <f>Tabla1[[#This Row],[PAIS]]</f>
        <v>romania</v>
      </c>
      <c r="E471" s="8" t="str">
        <f ca="1">IF(VLOOKUP(Tabla1[[#This Row],[PAIS]],$H$2:$I$34,2)="x","SI","NO")</f>
        <v>NO</v>
      </c>
    </row>
    <row r="472" spans="1:5" x14ac:dyDescent="0.3">
      <c r="A472" t="str">
        <f>MID(Tabla1[[#This Row],[ENLACE]],FIND("~",SUBSTITUTE(Tabla1[[#This Row],[ENLACE]],"/","~",2))+1,LEN(Tabla1[[#This Row],[ENLACE]]))</f>
        <v>fc-voluntari</v>
      </c>
      <c r="B472" s="5" t="s">
        <v>625</v>
      </c>
      <c r="C472" t="str">
        <f>_xlfn.TEXTBEFORE(_xlfn.TEXTAFTER(Tabla1[[#This Row],[ENLACE]],"/",1),"/")</f>
        <v>romania</v>
      </c>
      <c r="D472" t="str">
        <f>Tabla1[[#This Row],[PAIS]]</f>
        <v>romania</v>
      </c>
      <c r="E472" s="8" t="str">
        <f ca="1">IF(VLOOKUP(Tabla1[[#This Row],[PAIS]],$H$2:$I$34,2)="x","SI","NO")</f>
        <v>NO</v>
      </c>
    </row>
    <row r="473" spans="1:5" x14ac:dyDescent="0.3">
      <c r="A473" t="str">
        <f>MID(Tabla1[[#This Row],[ENLACE]],FIND("~",SUBSTITUTE(Tabla1[[#This Row],[ENLACE]],"/","~",2))+1,LEN(Tabla1[[#This Row],[ENLACE]]))</f>
        <v>fcsb</v>
      </c>
      <c r="B473" s="2" t="s">
        <v>389</v>
      </c>
      <c r="C473" t="str">
        <f>_xlfn.TEXTBEFORE(_xlfn.TEXTAFTER(Tabla1[[#This Row],[ENLACE]],"/",1),"/")</f>
        <v>romania</v>
      </c>
      <c r="D473" t="str">
        <f>Tabla1[[#This Row],[PAIS]]</f>
        <v>romania</v>
      </c>
      <c r="E473" s="8" t="str">
        <f ca="1">IF(VLOOKUP(Tabla1[[#This Row],[PAIS]],$H$2:$I$34,2)="x","SI","NO")</f>
        <v>NO</v>
      </c>
    </row>
    <row r="474" spans="1:5" x14ac:dyDescent="0.3">
      <c r="A474" t="str">
        <f>MID(Tabla1[[#This Row],[ENLACE]],FIND("~",SUBSTITUTE(Tabla1[[#This Row],[ENLACE]],"/","~",2))+1,LEN(Tabla1[[#This Row],[ENLACE]]))</f>
        <v>asc-otelul-galati</v>
      </c>
      <c r="B474" s="5" t="s">
        <v>390</v>
      </c>
      <c r="C474" t="str">
        <f>_xlfn.TEXTBEFORE(_xlfn.TEXTAFTER(Tabla1[[#This Row],[ENLACE]],"/",1),"/")</f>
        <v>romania</v>
      </c>
      <c r="D474" t="str">
        <f>Tabla1[[#This Row],[PAIS]]</f>
        <v>romania</v>
      </c>
      <c r="E474" s="8" t="str">
        <f ca="1">IF(VLOOKUP(Tabla1[[#This Row],[PAIS]],$H$2:$I$34,2)="x","SI","NO")</f>
        <v>NO</v>
      </c>
    </row>
    <row r="475" spans="1:5" x14ac:dyDescent="0.3">
      <c r="A475" t="str">
        <f>MID(Tabla1[[#This Row],[ENLACE]],FIND("~",SUBSTITUTE(Tabla1[[#This Row],[ENLACE]],"/","~",2))+1,LEN(Tabla1[[#This Row],[ENLACE]]))</f>
        <v>fc-petrolul-ploiesti</v>
      </c>
      <c r="B475" s="2" t="s">
        <v>391</v>
      </c>
      <c r="C475" t="str">
        <f>_xlfn.TEXTBEFORE(_xlfn.TEXTAFTER(Tabla1[[#This Row],[ENLACE]],"/",1),"/")</f>
        <v>romania</v>
      </c>
      <c r="D475" t="str">
        <f>Tabla1[[#This Row],[PAIS]]</f>
        <v>romania</v>
      </c>
      <c r="E475" s="8" t="str">
        <f ca="1">IF(VLOOKUP(Tabla1[[#This Row],[PAIS]],$H$2:$I$34,2)="x","SI","NO")</f>
        <v>NO</v>
      </c>
    </row>
    <row r="476" spans="1:5" x14ac:dyDescent="0.3">
      <c r="A476" t="str">
        <f>MID(Tabla1[[#This Row],[ENLACE]],FIND("~",SUBSTITUTE(Tabla1[[#This Row],[ENLACE]],"/","~",2))+1,LEN(Tabla1[[#This Row],[ENLACE]]))</f>
        <v>sepsi-osk-sftantu-gheorghe</v>
      </c>
      <c r="B476" s="5" t="s">
        <v>626</v>
      </c>
      <c r="C476" t="str">
        <f>_xlfn.TEXTBEFORE(_xlfn.TEXTAFTER(Tabla1[[#This Row],[ENLACE]],"/",1),"/")</f>
        <v>romania</v>
      </c>
      <c r="D476" t="str">
        <f>Tabla1[[#This Row],[PAIS]]</f>
        <v>romania</v>
      </c>
      <c r="E476" s="8" t="str">
        <f ca="1">IF(VLOOKUP(Tabla1[[#This Row],[PAIS]],$H$2:$I$34,2)="x","SI","NO")</f>
        <v>NO</v>
      </c>
    </row>
    <row r="477" spans="1:5" x14ac:dyDescent="0.3">
      <c r="A477" t="str">
        <f>MID(Tabla1[[#This Row],[ENLACE]],FIND("~",SUBSTITUTE(Tabla1[[#This Row],[ENLACE]],"/","~",2))+1,LEN(Tabla1[[#This Row],[ENLACE]]))</f>
        <v>fc-universitatea-cluj</v>
      </c>
      <c r="B477" s="2" t="s">
        <v>392</v>
      </c>
      <c r="C477" t="str">
        <f>_xlfn.TEXTBEFORE(_xlfn.TEXTAFTER(Tabla1[[#This Row],[ENLACE]],"/",1),"/")</f>
        <v>romania</v>
      </c>
      <c r="D477" t="str">
        <f>Tabla1[[#This Row],[PAIS]]</f>
        <v>romania</v>
      </c>
      <c r="E477" s="8" t="str">
        <f ca="1">IF(VLOOKUP(Tabla1[[#This Row],[PAIS]],$H$2:$I$34,2)="x","SI","NO")</f>
        <v>NO</v>
      </c>
    </row>
    <row r="478" spans="1:5" x14ac:dyDescent="0.3">
      <c r="A478" t="str">
        <f>MID(Tabla1[[#This Row],[ENLACE]],FIND("~",SUBSTITUTE(Tabla1[[#This Row],[ENLACE]],"/","~",2))+1,LEN(Tabla1[[#This Row],[ENLACE]]))</f>
        <v>cs-universitatea-craiova</v>
      </c>
      <c r="B478" s="5" t="s">
        <v>393</v>
      </c>
      <c r="C478" t="str">
        <f>_xlfn.TEXTBEFORE(_xlfn.TEXTAFTER(Tabla1[[#This Row],[ENLACE]],"/",1),"/")</f>
        <v>romania</v>
      </c>
      <c r="D478" t="str">
        <f>Tabla1[[#This Row],[PAIS]]</f>
        <v>romania</v>
      </c>
      <c r="E478" s="8" t="str">
        <f ca="1">IF(VLOOKUP(Tabla1[[#This Row],[PAIS]],$H$2:$I$34,2)="x","SI","NO")</f>
        <v>NO</v>
      </c>
    </row>
    <row r="479" spans="1:5" x14ac:dyDescent="0.3">
      <c r="A479" t="str">
        <f>MID(Tabla1[[#This Row],[ENLACE]],FIND("~",SUBSTITUTE(Tabla1[[#This Row],[ENLACE]],"/","~",2))+1,LEN(Tabla1[[#This Row],[ENLACE]]))</f>
        <v>fc-uta-arad</v>
      </c>
      <c r="B479" s="2" t="s">
        <v>394</v>
      </c>
      <c r="C479" t="str">
        <f>_xlfn.TEXTBEFORE(_xlfn.TEXTAFTER(Tabla1[[#This Row],[ENLACE]],"/",1),"/")</f>
        <v>romania</v>
      </c>
      <c r="D479" t="str">
        <f>Tabla1[[#This Row],[PAIS]]</f>
        <v>romania</v>
      </c>
      <c r="E479" s="8" t="str">
        <f ca="1">IF(VLOOKUP(Tabla1[[#This Row],[PAIS]],$H$2:$I$34,2)="x","SI","NO")</f>
        <v>NO</v>
      </c>
    </row>
    <row r="480" spans="1:5" x14ac:dyDescent="0.3">
      <c r="A480" t="str">
        <f>MID(Tabla1[[#This Row],[ENLACE]],FIND("~",SUBSTITUTE(Tabla1[[#This Row],[ENLACE]],"/","~",2))+1,LEN(Tabla1[[#This Row],[ENLACE]]))</f>
        <v>al-fateh-sc</v>
      </c>
      <c r="B480" s="5" t="s">
        <v>396</v>
      </c>
      <c r="C480" t="str">
        <f>_xlfn.TEXTBEFORE(_xlfn.TEXTAFTER(Tabla1[[#This Row],[ENLACE]],"/",1),"/")</f>
        <v>saudi-arabia</v>
      </c>
      <c r="D480" t="str">
        <f>Tabla1[[#This Row],[PAIS]]</f>
        <v>saudi-arabia</v>
      </c>
      <c r="E480" s="8" t="str">
        <f ca="1">IF(VLOOKUP(Tabla1[[#This Row],[PAIS]],$H$2:$I$34,2)="x","SI","NO")</f>
        <v>NO</v>
      </c>
    </row>
    <row r="481" spans="1:5" x14ac:dyDescent="0.3">
      <c r="A481" t="str">
        <f>MID(Tabla1[[#This Row],[ENLACE]],FIND("~",SUBSTITUTE(Tabla1[[#This Row],[ENLACE]],"/","~",2))+1,LEN(Tabla1[[#This Row],[ENLACE]]))</f>
        <v>al-fayha-fc</v>
      </c>
      <c r="B481" s="2" t="s">
        <v>397</v>
      </c>
      <c r="C481" t="str">
        <f>_xlfn.TEXTBEFORE(_xlfn.TEXTAFTER(Tabla1[[#This Row],[ENLACE]],"/",1),"/")</f>
        <v>saudi-arabia</v>
      </c>
      <c r="D481" t="str">
        <f>Tabla1[[#This Row],[PAIS]]</f>
        <v>saudi-arabia</v>
      </c>
      <c r="E481" s="8" t="str">
        <f ca="1">IF(VLOOKUP(Tabla1[[#This Row],[PAIS]],$H$2:$I$34,2)="x","SI","NO")</f>
        <v>NO</v>
      </c>
    </row>
    <row r="482" spans="1:5" x14ac:dyDescent="0.3">
      <c r="A482" t="str">
        <f>MID(Tabla1[[#This Row],[ENLACE]],FIND("~",SUBSTITUTE(Tabla1[[#This Row],[ENLACE]],"/","~",2))+1,LEN(Tabla1[[#This Row],[ENLACE]]))</f>
        <v>al-hazem-fc</v>
      </c>
      <c r="B482" s="5" t="s">
        <v>533</v>
      </c>
      <c r="C482" t="str">
        <f>_xlfn.TEXTBEFORE(_xlfn.TEXTAFTER(Tabla1[[#This Row],[ENLACE]],"/",1),"/")</f>
        <v>saudi-arabia</v>
      </c>
      <c r="D482" t="str">
        <f>Tabla1[[#This Row],[PAIS]]</f>
        <v>saudi-arabia</v>
      </c>
      <c r="E482" s="8" t="str">
        <f ca="1">IF(VLOOKUP(Tabla1[[#This Row],[PAIS]],$H$2:$I$34,2)="x","SI","NO")</f>
        <v>NO</v>
      </c>
    </row>
    <row r="483" spans="1:5" x14ac:dyDescent="0.3">
      <c r="A483" t="str">
        <f>MID(Tabla1[[#This Row],[ENLACE]],FIND("~",SUBSTITUTE(Tabla1[[#This Row],[ENLACE]],"/","~",2))+1,LEN(Tabla1[[#This Row],[ENLACE]]))</f>
        <v>khaleej-fc</v>
      </c>
      <c r="B483" s="2" t="s">
        <v>398</v>
      </c>
      <c r="C483" t="str">
        <f>_xlfn.TEXTBEFORE(_xlfn.TEXTAFTER(Tabla1[[#This Row],[ENLACE]],"/",1),"/")</f>
        <v>saudi-arabia</v>
      </c>
      <c r="D483" t="str">
        <f>Tabla1[[#This Row],[PAIS]]</f>
        <v>saudi-arabia</v>
      </c>
      <c r="E483" s="8" t="str">
        <f ca="1">IF(VLOOKUP(Tabla1[[#This Row],[PAIS]],$H$2:$I$34,2)="x","SI","NO")</f>
        <v>NO</v>
      </c>
    </row>
    <row r="484" spans="1:5" x14ac:dyDescent="0.3">
      <c r="A484" t="str">
        <f>MID(Tabla1[[#This Row],[ENLACE]],FIND("~",SUBSTITUTE(Tabla1[[#This Row],[ENLACE]],"/","~",2))+1,LEN(Tabla1[[#This Row],[ENLACE]]))</f>
        <v>al-kholood-club</v>
      </c>
      <c r="B484" s="5" t="s">
        <v>399</v>
      </c>
      <c r="C484" t="str">
        <f>_xlfn.TEXTBEFORE(_xlfn.TEXTAFTER(Tabla1[[#This Row],[ENLACE]],"/",1),"/")</f>
        <v>saudi-arabia</v>
      </c>
      <c r="D484" t="str">
        <f>Tabla1[[#This Row],[PAIS]]</f>
        <v>saudi-arabia</v>
      </c>
      <c r="E484" s="8" t="str">
        <f ca="1">IF(VLOOKUP(Tabla1[[#This Row],[PAIS]],$H$2:$I$34,2)="x","SI","NO")</f>
        <v>NO</v>
      </c>
    </row>
    <row r="485" spans="1:5" x14ac:dyDescent="0.3">
      <c r="A485" t="str">
        <f>MID(Tabla1[[#This Row],[ENLACE]],FIND("~",SUBSTITUTE(Tabla1[[#This Row],[ENLACE]],"/","~",2))+1,LEN(Tabla1[[#This Row],[ENLACE]]))</f>
        <v>al-najma-sc</v>
      </c>
      <c r="B485" s="2" t="s">
        <v>534</v>
      </c>
      <c r="C485" t="str">
        <f>_xlfn.TEXTBEFORE(_xlfn.TEXTAFTER(Tabla1[[#This Row],[ENLACE]],"/",1),"/")</f>
        <v>saudi-arabia</v>
      </c>
      <c r="D485" t="str">
        <f>Tabla1[[#This Row],[PAIS]]</f>
        <v>saudi-arabia</v>
      </c>
      <c r="E485" s="8" t="str">
        <f ca="1">IF(VLOOKUP(Tabla1[[#This Row],[PAIS]],$H$2:$I$34,2)="x","SI","NO")</f>
        <v>NO</v>
      </c>
    </row>
    <row r="486" spans="1:5" x14ac:dyDescent="0.3">
      <c r="A486" t="str">
        <f>MID(Tabla1[[#This Row],[ENLACE]],FIND("~",SUBSTITUTE(Tabla1[[#This Row],[ENLACE]],"/","~",2))+1,LEN(Tabla1[[#This Row],[ENLACE]]))</f>
        <v>al-okhdood-club</v>
      </c>
      <c r="B486" s="5" t="s">
        <v>395</v>
      </c>
      <c r="C486" t="str">
        <f>_xlfn.TEXTBEFORE(_xlfn.TEXTAFTER(Tabla1[[#This Row],[ENLACE]],"/",1),"/")</f>
        <v>saudi-arabia</v>
      </c>
      <c r="D486" t="str">
        <f>Tabla1[[#This Row],[PAIS]]</f>
        <v>saudi-arabia</v>
      </c>
      <c r="E486" s="8" t="str">
        <f ca="1">IF(VLOOKUP(Tabla1[[#This Row],[PAIS]],$H$2:$I$34,2)="x","SI","NO")</f>
        <v>NO</v>
      </c>
    </row>
    <row r="487" spans="1:5" x14ac:dyDescent="0.3">
      <c r="A487" t="str">
        <f>MID(Tabla1[[#This Row],[ENLACE]],FIND("~",SUBSTITUTE(Tabla1[[#This Row],[ENLACE]],"/","~",2))+1,LEN(Tabla1[[#This Row],[ENLACE]]))</f>
        <v>al-qadsiah-fc</v>
      </c>
      <c r="B487" s="2" t="s">
        <v>400</v>
      </c>
      <c r="C487" t="str">
        <f>_xlfn.TEXTBEFORE(_xlfn.TEXTAFTER(Tabla1[[#This Row],[ENLACE]],"/",1),"/")</f>
        <v>saudi-arabia</v>
      </c>
      <c r="D487" t="str">
        <f>Tabla1[[#This Row],[PAIS]]</f>
        <v>saudi-arabia</v>
      </c>
      <c r="E487" s="8" t="str">
        <f ca="1">IF(VLOOKUP(Tabla1[[#This Row],[PAIS]],$H$2:$I$34,2)="x","SI","NO")</f>
        <v>NO</v>
      </c>
    </row>
    <row r="488" spans="1:5" x14ac:dyDescent="0.3">
      <c r="A488" t="str">
        <f>MID(Tabla1[[#This Row],[ENLACE]],FIND("~",SUBSTITUTE(Tabla1[[#This Row],[ENLACE]],"/","~",2))+1,LEN(Tabla1[[#This Row],[ENLACE]]))</f>
        <v>al-riyadh-sc</v>
      </c>
      <c r="B488" s="5" t="s">
        <v>401</v>
      </c>
      <c r="C488" t="str">
        <f>_xlfn.TEXTBEFORE(_xlfn.TEXTAFTER(Tabla1[[#This Row],[ENLACE]],"/",1),"/")</f>
        <v>saudi-arabia</v>
      </c>
      <c r="D488" t="str">
        <f>Tabla1[[#This Row],[PAIS]]</f>
        <v>saudi-arabia</v>
      </c>
      <c r="E488" s="8" t="str">
        <f ca="1">IF(VLOOKUP(Tabla1[[#This Row],[PAIS]],$H$2:$I$34,2)="x","SI","NO")</f>
        <v>NO</v>
      </c>
    </row>
    <row r="489" spans="1:5" x14ac:dyDescent="0.3">
      <c r="A489" t="str">
        <f>MID(Tabla1[[#This Row],[ENLACE]],FIND("~",SUBSTITUTE(Tabla1[[#This Row],[ENLACE]],"/","~",2))+1,LEN(Tabla1[[#This Row],[ENLACE]]))</f>
        <v>al-ahli-saudi-fc</v>
      </c>
      <c r="B489" s="2" t="s">
        <v>402</v>
      </c>
      <c r="C489" t="str">
        <f>_xlfn.TEXTBEFORE(_xlfn.TEXTAFTER(Tabla1[[#This Row],[ENLACE]],"/",1),"/")</f>
        <v>saudi-arabia</v>
      </c>
      <c r="D489" t="str">
        <f>Tabla1[[#This Row],[PAIS]]</f>
        <v>saudi-arabia</v>
      </c>
      <c r="E489" s="8" t="str">
        <f ca="1">IF(VLOOKUP(Tabla1[[#This Row],[PAIS]],$H$2:$I$34,2)="x","SI","NO")</f>
        <v>NO</v>
      </c>
    </row>
    <row r="490" spans="1:5" x14ac:dyDescent="0.3">
      <c r="A490" t="str">
        <f>MID(Tabla1[[#This Row],[ENLACE]],FIND("~",SUBSTITUTE(Tabla1[[#This Row],[ENLACE]],"/","~",2))+1,LEN(Tabla1[[#This Row],[ENLACE]]))</f>
        <v>al-ettifaq-fc</v>
      </c>
      <c r="B490" s="5" t="s">
        <v>403</v>
      </c>
      <c r="C490" t="str">
        <f>_xlfn.TEXTBEFORE(_xlfn.TEXTAFTER(Tabla1[[#This Row],[ENLACE]],"/",1),"/")</f>
        <v>saudi-arabia</v>
      </c>
      <c r="D490" t="str">
        <f>Tabla1[[#This Row],[PAIS]]</f>
        <v>saudi-arabia</v>
      </c>
      <c r="E490" s="8" t="str">
        <f ca="1">IF(VLOOKUP(Tabla1[[#This Row],[PAIS]],$H$2:$I$34,2)="x","SI","NO")</f>
        <v>NO</v>
      </c>
    </row>
    <row r="491" spans="1:5" x14ac:dyDescent="0.3">
      <c r="A491" t="str">
        <f>MID(Tabla1[[#This Row],[ENLACE]],FIND("~",SUBSTITUTE(Tabla1[[#This Row],[ENLACE]],"/","~",2))+1,LEN(Tabla1[[#This Row],[ENLACE]]))</f>
        <v>al-hilal-fc</v>
      </c>
      <c r="B491" s="2" t="s">
        <v>404</v>
      </c>
      <c r="C491" t="str">
        <f>_xlfn.TEXTBEFORE(_xlfn.TEXTAFTER(Tabla1[[#This Row],[ENLACE]],"/",1),"/")</f>
        <v>saudi-arabia</v>
      </c>
      <c r="D491" t="str">
        <f>Tabla1[[#This Row],[PAIS]]</f>
        <v>saudi-arabia</v>
      </c>
      <c r="E491" s="8" t="str">
        <f ca="1">IF(VLOOKUP(Tabla1[[#This Row],[PAIS]],$H$2:$I$34,2)="x","SI","NO")</f>
        <v>NO</v>
      </c>
    </row>
    <row r="492" spans="1:5" x14ac:dyDescent="0.3">
      <c r="A492" t="str">
        <f>MID(Tabla1[[#This Row],[ENLACE]],FIND("~",SUBSTITUTE(Tabla1[[#This Row],[ENLACE]],"/","~",2))+1,LEN(Tabla1[[#This Row],[ENLACE]]))</f>
        <v>al-ittihad-fc</v>
      </c>
      <c r="B492" s="5" t="s">
        <v>405</v>
      </c>
      <c r="C492" t="str">
        <f>_xlfn.TEXTBEFORE(_xlfn.TEXTAFTER(Tabla1[[#This Row],[ENLACE]],"/",1),"/")</f>
        <v>saudi-arabia</v>
      </c>
      <c r="D492" t="str">
        <f>Tabla1[[#This Row],[PAIS]]</f>
        <v>saudi-arabia</v>
      </c>
      <c r="E492" s="8" t="str">
        <f ca="1">IF(VLOOKUP(Tabla1[[#This Row],[PAIS]],$H$2:$I$34,2)="x","SI","NO")</f>
        <v>NO</v>
      </c>
    </row>
    <row r="493" spans="1:5" x14ac:dyDescent="0.3">
      <c r="A493" t="str">
        <f>MID(Tabla1[[#This Row],[ENLACE]],FIND("~",SUBSTITUTE(Tabla1[[#This Row],[ENLACE]],"/","~",2))+1,LEN(Tabla1[[#This Row],[ENLACE]]))</f>
        <v>al-nassr-fc</v>
      </c>
      <c r="B493" s="2" t="s">
        <v>406</v>
      </c>
      <c r="C493" t="str">
        <f>_xlfn.TEXTBEFORE(_xlfn.TEXTAFTER(Tabla1[[#This Row],[ENLACE]],"/",1),"/")</f>
        <v>saudi-arabia</v>
      </c>
      <c r="D493" t="str">
        <f>Tabla1[[#This Row],[PAIS]]</f>
        <v>saudi-arabia</v>
      </c>
      <c r="E493" s="8" t="str">
        <f ca="1">IF(VLOOKUP(Tabla1[[#This Row],[PAIS]],$H$2:$I$34,2)="x","SI","NO")</f>
        <v>NO</v>
      </c>
    </row>
    <row r="494" spans="1:5" x14ac:dyDescent="0.3">
      <c r="A494" t="str">
        <f>MID(Tabla1[[#This Row],[ENLACE]],FIND("~",SUBSTITUTE(Tabla1[[#This Row],[ENLACE]],"/","~",2))+1,LEN(Tabla1[[#This Row],[ENLACE]]))</f>
        <v>al-shabab-fc</v>
      </c>
      <c r="B494" s="5" t="s">
        <v>407</v>
      </c>
      <c r="C494" t="str">
        <f>_xlfn.TEXTBEFORE(_xlfn.TEXTAFTER(Tabla1[[#This Row],[ENLACE]],"/",1),"/")</f>
        <v>saudi-arabia</v>
      </c>
      <c r="D494" t="str">
        <f>Tabla1[[#This Row],[PAIS]]</f>
        <v>saudi-arabia</v>
      </c>
      <c r="E494" s="8" t="str">
        <f ca="1">IF(VLOOKUP(Tabla1[[#This Row],[PAIS]],$H$2:$I$34,2)="x","SI","NO")</f>
        <v>NO</v>
      </c>
    </row>
    <row r="495" spans="1:5" x14ac:dyDescent="0.3">
      <c r="A495" t="str">
        <f>MID(Tabla1[[#This Row],[ENLACE]],FIND("~",SUBSTITUTE(Tabla1[[#This Row],[ENLACE]],"/","~",2))+1,LEN(Tabla1[[#This Row],[ENLACE]]))</f>
        <v>al-taawoun-fc</v>
      </c>
      <c r="B495" s="2" t="s">
        <v>408</v>
      </c>
      <c r="C495" t="str">
        <f>_xlfn.TEXTBEFORE(_xlfn.TEXTAFTER(Tabla1[[#This Row],[ENLACE]],"/",1),"/")</f>
        <v>saudi-arabia</v>
      </c>
      <c r="D495" t="str">
        <f>Tabla1[[#This Row],[PAIS]]</f>
        <v>saudi-arabia</v>
      </c>
      <c r="E495" s="8" t="str">
        <f ca="1">IF(VLOOKUP(Tabla1[[#This Row],[PAIS]],$H$2:$I$34,2)="x","SI","NO")</f>
        <v>NO</v>
      </c>
    </row>
    <row r="496" spans="1:5" x14ac:dyDescent="0.3">
      <c r="A496" t="str">
        <f>MID(Tabla1[[#This Row],[ENLACE]],FIND("~",SUBSTITUTE(Tabla1[[#This Row],[ENLACE]],"/","~",2))+1,LEN(Tabla1[[#This Row],[ENLACE]]))</f>
        <v>damac-fc</v>
      </c>
      <c r="B496" s="5" t="s">
        <v>409</v>
      </c>
      <c r="C496" t="str">
        <f>_xlfn.TEXTBEFORE(_xlfn.TEXTAFTER(Tabla1[[#This Row],[ENLACE]],"/",1),"/")</f>
        <v>saudi-arabia</v>
      </c>
      <c r="D496" t="str">
        <f>Tabla1[[#This Row],[PAIS]]</f>
        <v>saudi-arabia</v>
      </c>
      <c r="E496" s="8" t="str">
        <f ca="1">IF(VLOOKUP(Tabla1[[#This Row],[PAIS]],$H$2:$I$34,2)="x","SI","NO")</f>
        <v>NO</v>
      </c>
    </row>
    <row r="497" spans="1:5" x14ac:dyDescent="0.3">
      <c r="A497" t="str">
        <f>MID(Tabla1[[#This Row],[ENLACE]],FIND("~",SUBSTITUTE(Tabla1[[#This Row],[ENLACE]],"/","~",2))+1,LEN(Tabla1[[#This Row],[ENLACE]]))</f>
        <v>neom-sc</v>
      </c>
      <c r="B497" s="2" t="s">
        <v>535</v>
      </c>
      <c r="C497" t="str">
        <f>_xlfn.TEXTBEFORE(_xlfn.TEXTAFTER(Tabla1[[#This Row],[ENLACE]],"/",1),"/")</f>
        <v>saudi-arabia</v>
      </c>
      <c r="D497" t="str">
        <f>Tabla1[[#This Row],[PAIS]]</f>
        <v>saudi-arabia</v>
      </c>
      <c r="E497" s="8" t="str">
        <f ca="1">IF(VLOOKUP(Tabla1[[#This Row],[PAIS]],$H$2:$I$34,2)="x","SI","NO")</f>
        <v>NO</v>
      </c>
    </row>
    <row r="498" spans="1:5" x14ac:dyDescent="0.3">
      <c r="A498" t="str">
        <f>MID(Tabla1[[#This Row],[ENLACE]],FIND("~",SUBSTITUTE(Tabla1[[#This Row],[ENLACE]],"/","~",2))+1,LEN(Tabla1[[#This Row],[ENLACE]]))</f>
        <v>aberdeen-fc</v>
      </c>
      <c r="B498" s="5" t="s">
        <v>410</v>
      </c>
      <c r="C498" t="str">
        <f>_xlfn.TEXTBEFORE(_xlfn.TEXTAFTER(Tabla1[[#This Row],[ENLACE]],"/",1),"/")</f>
        <v>scotland</v>
      </c>
      <c r="D498" t="str">
        <f>Tabla1[[#This Row],[PAIS]]</f>
        <v>scotland</v>
      </c>
      <c r="E498" s="8" t="str">
        <f ca="1">IF(VLOOKUP(Tabla1[[#This Row],[PAIS]],$H$2:$I$34,2)="x","SI","NO")</f>
        <v>NO</v>
      </c>
    </row>
    <row r="499" spans="1:5" x14ac:dyDescent="0.3">
      <c r="A499" t="str">
        <f>MID(Tabla1[[#This Row],[ENLACE]],FIND("~",SUBSTITUTE(Tabla1[[#This Row],[ENLACE]],"/","~",2))+1,LEN(Tabla1[[#This Row],[ENLACE]]))</f>
        <v>celtic-fc</v>
      </c>
      <c r="B499" s="2" t="s">
        <v>411</v>
      </c>
      <c r="C499" t="str">
        <f>_xlfn.TEXTBEFORE(_xlfn.TEXTAFTER(Tabla1[[#This Row],[ENLACE]],"/",1),"/")</f>
        <v>scotland</v>
      </c>
      <c r="D499" t="str">
        <f>Tabla1[[#This Row],[PAIS]]</f>
        <v>scotland</v>
      </c>
      <c r="E499" s="8" t="str">
        <f ca="1">IF(VLOOKUP(Tabla1[[#This Row],[PAIS]],$H$2:$I$34,2)="x","SI","NO")</f>
        <v>NO</v>
      </c>
    </row>
    <row r="500" spans="1:5" x14ac:dyDescent="0.3">
      <c r="A500" t="str">
        <f>MID(Tabla1[[#This Row],[ENLACE]],FIND("~",SUBSTITUTE(Tabla1[[#This Row],[ENLACE]],"/","~",2))+1,LEN(Tabla1[[#This Row],[ENLACE]]))</f>
        <v>dundee-fc</v>
      </c>
      <c r="B500" s="5" t="s">
        <v>412</v>
      </c>
      <c r="C500" t="str">
        <f>_xlfn.TEXTBEFORE(_xlfn.TEXTAFTER(Tabla1[[#This Row],[ENLACE]],"/",1),"/")</f>
        <v>scotland</v>
      </c>
      <c r="D500" t="str">
        <f>Tabla1[[#This Row],[PAIS]]</f>
        <v>scotland</v>
      </c>
      <c r="E500" s="8" t="str">
        <f ca="1">IF(VLOOKUP(Tabla1[[#This Row],[PAIS]],$H$2:$I$34,2)="x","SI","NO")</f>
        <v>NO</v>
      </c>
    </row>
    <row r="501" spans="1:5" x14ac:dyDescent="0.3">
      <c r="A501" t="str">
        <f>MID(Tabla1[[#This Row],[ENLACE]],FIND("~",SUBSTITUTE(Tabla1[[#This Row],[ENLACE]],"/","~",2))+1,LEN(Tabla1[[#This Row],[ENLACE]]))</f>
        <v>dundee-united-fc</v>
      </c>
      <c r="B501" s="2" t="s">
        <v>413</v>
      </c>
      <c r="C501" t="str">
        <f>_xlfn.TEXTBEFORE(_xlfn.TEXTAFTER(Tabla1[[#This Row],[ENLACE]],"/",1),"/")</f>
        <v>scotland</v>
      </c>
      <c r="D501" t="str">
        <f>Tabla1[[#This Row],[PAIS]]</f>
        <v>scotland</v>
      </c>
      <c r="E501" s="8" t="str">
        <f ca="1">IF(VLOOKUP(Tabla1[[#This Row],[PAIS]],$H$2:$I$34,2)="x","SI","NO")</f>
        <v>NO</v>
      </c>
    </row>
    <row r="502" spans="1:5" x14ac:dyDescent="0.3">
      <c r="A502" t="str">
        <f>MID(Tabla1[[#This Row],[ENLACE]],FIND("~",SUBSTITUTE(Tabla1[[#This Row],[ENLACE]],"/","~",2))+1,LEN(Tabla1[[#This Row],[ENLACE]]))</f>
        <v>falkirk-fc</v>
      </c>
      <c r="B502" s="5" t="s">
        <v>414</v>
      </c>
      <c r="C502" t="str">
        <f>_xlfn.TEXTBEFORE(_xlfn.TEXTAFTER(Tabla1[[#This Row],[ENLACE]],"/",1),"/")</f>
        <v>scotland</v>
      </c>
      <c r="D502" t="str">
        <f>Tabla1[[#This Row],[PAIS]]</f>
        <v>scotland</v>
      </c>
      <c r="E502" s="8" t="str">
        <f ca="1">IF(VLOOKUP(Tabla1[[#This Row],[PAIS]],$H$2:$I$34,2)="x","SI","NO")</f>
        <v>NO</v>
      </c>
    </row>
    <row r="503" spans="1:5" x14ac:dyDescent="0.3">
      <c r="A503" t="str">
        <f>MID(Tabla1[[#This Row],[ENLACE]],FIND("~",SUBSTITUTE(Tabla1[[#This Row],[ENLACE]],"/","~",2))+1,LEN(Tabla1[[#This Row],[ENLACE]]))</f>
        <v>heart-of-midlothian-fc</v>
      </c>
      <c r="B503" s="2" t="s">
        <v>415</v>
      </c>
      <c r="C503" t="str">
        <f>_xlfn.TEXTBEFORE(_xlfn.TEXTAFTER(Tabla1[[#This Row],[ENLACE]],"/",1),"/")</f>
        <v>scotland</v>
      </c>
      <c r="D503" t="str">
        <f>Tabla1[[#This Row],[PAIS]]</f>
        <v>scotland</v>
      </c>
      <c r="E503" s="8" t="str">
        <f ca="1">IF(VLOOKUP(Tabla1[[#This Row],[PAIS]],$H$2:$I$34,2)="x","SI","NO")</f>
        <v>NO</v>
      </c>
    </row>
    <row r="504" spans="1:5" x14ac:dyDescent="0.3">
      <c r="A504" t="str">
        <f>MID(Tabla1[[#This Row],[ENLACE]],FIND("~",SUBSTITUTE(Tabla1[[#This Row],[ENLACE]],"/","~",2))+1,LEN(Tabla1[[#This Row],[ENLACE]]))</f>
        <v>hibernian-fc</v>
      </c>
      <c r="B504" s="5" t="s">
        <v>416</v>
      </c>
      <c r="C504" t="str">
        <f>_xlfn.TEXTBEFORE(_xlfn.TEXTAFTER(Tabla1[[#This Row],[ENLACE]],"/",1),"/")</f>
        <v>scotland</v>
      </c>
      <c r="D504" t="str">
        <f>Tabla1[[#This Row],[PAIS]]</f>
        <v>scotland</v>
      </c>
      <c r="E504" s="8" t="str">
        <f ca="1">IF(VLOOKUP(Tabla1[[#This Row],[PAIS]],$H$2:$I$34,2)="x","SI","NO")</f>
        <v>NO</v>
      </c>
    </row>
    <row r="505" spans="1:5" x14ac:dyDescent="0.3">
      <c r="A505" t="str">
        <f>MID(Tabla1[[#This Row],[ENLACE]],FIND("~",SUBSTITUTE(Tabla1[[#This Row],[ENLACE]],"/","~",2))+1,LEN(Tabla1[[#This Row],[ENLACE]]))</f>
        <v>kilmarnock-fc</v>
      </c>
      <c r="B505" s="2" t="s">
        <v>417</v>
      </c>
      <c r="C505" t="str">
        <f>_xlfn.TEXTBEFORE(_xlfn.TEXTAFTER(Tabla1[[#This Row],[ENLACE]],"/",1),"/")</f>
        <v>scotland</v>
      </c>
      <c r="D505" t="str">
        <f>Tabla1[[#This Row],[PAIS]]</f>
        <v>scotland</v>
      </c>
      <c r="E505" s="8" t="str">
        <f ca="1">IF(VLOOKUP(Tabla1[[#This Row],[PAIS]],$H$2:$I$34,2)="x","SI","NO")</f>
        <v>NO</v>
      </c>
    </row>
    <row r="506" spans="1:5" x14ac:dyDescent="0.3">
      <c r="A506" t="str">
        <f>MID(Tabla1[[#This Row],[ENLACE]],FIND("~",SUBSTITUTE(Tabla1[[#This Row],[ENLACE]],"/","~",2))+1,LEN(Tabla1[[#This Row],[ENLACE]]))</f>
        <v>motherwell-fc</v>
      </c>
      <c r="B506" s="5" t="s">
        <v>418</v>
      </c>
      <c r="C506" t="str">
        <f>_xlfn.TEXTBEFORE(_xlfn.TEXTAFTER(Tabla1[[#This Row],[ENLACE]],"/",1),"/")</f>
        <v>scotland</v>
      </c>
      <c r="D506" t="str">
        <f>Tabla1[[#This Row],[PAIS]]</f>
        <v>scotland</v>
      </c>
      <c r="E506" s="8" t="str">
        <f ca="1">IF(VLOOKUP(Tabla1[[#This Row],[PAIS]],$H$2:$I$34,2)="x","SI","NO")</f>
        <v>NO</v>
      </c>
    </row>
    <row r="507" spans="1:5" x14ac:dyDescent="0.3">
      <c r="A507" t="str">
        <f>MID(Tabla1[[#This Row],[ENLACE]],FIND("~",SUBSTITUTE(Tabla1[[#This Row],[ENLACE]],"/","~",2))+1,LEN(Tabla1[[#This Row],[ENLACE]]))</f>
        <v>rangers-fc</v>
      </c>
      <c r="B507" s="2" t="s">
        <v>419</v>
      </c>
      <c r="C507" t="str">
        <f>_xlfn.TEXTBEFORE(_xlfn.TEXTAFTER(Tabla1[[#This Row],[ENLACE]],"/",1),"/")</f>
        <v>scotland</v>
      </c>
      <c r="D507" t="str">
        <f>Tabla1[[#This Row],[PAIS]]</f>
        <v>scotland</v>
      </c>
      <c r="E507" s="8" t="str">
        <f ca="1">IF(VLOOKUP(Tabla1[[#This Row],[PAIS]],$H$2:$I$34,2)="x","SI","NO")</f>
        <v>NO</v>
      </c>
    </row>
    <row r="508" spans="1:5" x14ac:dyDescent="0.3">
      <c r="A508" t="str">
        <f>MID(Tabla1[[#This Row],[ENLACE]],FIND("~",SUBSTITUTE(Tabla1[[#This Row],[ENLACE]],"/","~",2))+1,LEN(Tabla1[[#This Row],[ENLACE]]))</f>
        <v>st-johnstone-fc</v>
      </c>
      <c r="B508" s="5" t="s">
        <v>627</v>
      </c>
      <c r="C508" t="str">
        <f>_xlfn.TEXTBEFORE(_xlfn.TEXTAFTER(Tabla1[[#This Row],[ENLACE]],"/",1),"/")</f>
        <v>scotland</v>
      </c>
      <c r="D508" t="str">
        <f>Tabla1[[#This Row],[PAIS]]</f>
        <v>scotland</v>
      </c>
      <c r="E508" s="8" t="str">
        <f ca="1">IF(VLOOKUP(Tabla1[[#This Row],[PAIS]],$H$2:$I$34,2)="x","SI","NO")</f>
        <v>NO</v>
      </c>
    </row>
    <row r="509" spans="1:5" x14ac:dyDescent="0.3">
      <c r="A509" t="str">
        <f>MID(Tabla1[[#This Row],[ENLACE]],FIND("~",SUBSTITUTE(Tabla1[[#This Row],[ENLACE]],"/","~",2))+1,LEN(Tabla1[[#This Row],[ENLACE]]))</f>
        <v>st-mirren-fc</v>
      </c>
      <c r="B509" s="2" t="s">
        <v>420</v>
      </c>
      <c r="C509" t="str">
        <f>_xlfn.TEXTBEFORE(_xlfn.TEXTAFTER(Tabla1[[#This Row],[ENLACE]],"/",1),"/")</f>
        <v>scotland</v>
      </c>
      <c r="D509" t="str">
        <f>Tabla1[[#This Row],[PAIS]]</f>
        <v>scotland</v>
      </c>
      <c r="E509" s="8" t="str">
        <f ca="1">IF(VLOOKUP(Tabla1[[#This Row],[PAIS]],$H$2:$I$34,2)="x","SI","NO")</f>
        <v>NO</v>
      </c>
    </row>
    <row r="510" spans="1:5" x14ac:dyDescent="0.3">
      <c r="A510" t="str">
        <f>MID(Tabla1[[#This Row],[ENLACE]],FIND("~",SUBSTITUTE(Tabla1[[#This Row],[ENLACE]],"/","~",2))+1,LEN(Tabla1[[#This Row],[ENLACE]]))</f>
        <v>deportivo-alaves</v>
      </c>
      <c r="B510" s="5" t="s">
        <v>40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NO</v>
      </c>
    </row>
    <row r="511" spans="1:5" x14ac:dyDescent="0.3">
      <c r="A511" t="str">
        <f>MID(Tabla1[[#This Row],[ENLACE]],FIND("~",SUBSTITUTE(Tabla1[[#This Row],[ENLACE]],"/","~",2))+1,LEN(Tabla1[[#This Row],[ENLACE]]))</f>
        <v>athletic-bilbao</v>
      </c>
      <c r="B511" s="2" t="s">
        <v>41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NO</v>
      </c>
    </row>
    <row r="512" spans="1:5" x14ac:dyDescent="0.3">
      <c r="A512" t="str">
        <f>MID(Tabla1[[#This Row],[ENLACE]],FIND("~",SUBSTITUTE(Tabla1[[#This Row],[ENLACE]],"/","~",2))+1,LEN(Tabla1[[#This Row],[ENLACE]]))</f>
        <v>atletico-madrid</v>
      </c>
      <c r="B512" s="5" t="s">
        <v>42</v>
      </c>
      <c r="C512" t="str">
        <f>_xlfn.TEXTBEFORE(_xlfn.TEXTAFTER(Tabla1[[#This Row],[ENLACE]],"/",1),"/")</f>
        <v>spain</v>
      </c>
      <c r="D512" t="str">
        <f>Tabla1[[#This Row],[PAIS]]</f>
        <v>spain</v>
      </c>
      <c r="E512" s="8" t="str">
        <f ca="1">IF(VLOOKUP(Tabla1[[#This Row],[PAIS]],$H$2:$I$34,2)="x","SI","NO")</f>
        <v>NO</v>
      </c>
    </row>
    <row r="513" spans="1:5" x14ac:dyDescent="0.3">
      <c r="A513" t="str">
        <f>MID(Tabla1[[#This Row],[ENLACE]],FIND("~",SUBSTITUTE(Tabla1[[#This Row],[ENLACE]],"/","~",2))+1,LEN(Tabla1[[#This Row],[ENLACE]]))</f>
        <v>fc-barcelona</v>
      </c>
      <c r="B513" s="2" t="s">
        <v>43</v>
      </c>
      <c r="C513" t="str">
        <f>_xlfn.TEXTBEFORE(_xlfn.TEXTAFTER(Tabla1[[#This Row],[ENLACE]],"/",1),"/")</f>
        <v>spain</v>
      </c>
      <c r="D513" t="str">
        <f>Tabla1[[#This Row],[PAIS]]</f>
        <v>spain</v>
      </c>
      <c r="E513" s="8" t="str">
        <f ca="1">IF(VLOOKUP(Tabla1[[#This Row],[PAIS]],$H$2:$I$34,2)="x","SI","NO")</f>
        <v>NO</v>
      </c>
    </row>
    <row r="514" spans="1:5" x14ac:dyDescent="0.3">
      <c r="A514" t="str">
        <f>MID(Tabla1[[#This Row],[ENLACE]],FIND("~",SUBSTITUTE(Tabla1[[#This Row],[ENLACE]],"/","~",2))+1,LEN(Tabla1[[#This Row],[ENLACE]]))</f>
        <v>real-betis-balompie</v>
      </c>
      <c r="B514" s="5" t="s">
        <v>44</v>
      </c>
      <c r="C514" t="str">
        <f>_xlfn.TEXTBEFORE(_xlfn.TEXTAFTER(Tabla1[[#This Row],[ENLACE]],"/",1),"/")</f>
        <v>spain</v>
      </c>
      <c r="D514" t="str">
        <f>Tabla1[[#This Row],[PAIS]]</f>
        <v>spain</v>
      </c>
      <c r="E514" s="8" t="str">
        <f ca="1">IF(VLOOKUP(Tabla1[[#This Row],[PAIS]],$H$2:$I$34,2)="x","SI","NO")</f>
        <v>NO</v>
      </c>
    </row>
    <row r="515" spans="1:5" x14ac:dyDescent="0.3">
      <c r="A515" t="str">
        <f>MID(Tabla1[[#This Row],[ENLACE]],FIND("~",SUBSTITUTE(Tabla1[[#This Row],[ENLACE]],"/","~",2))+1,LEN(Tabla1[[#This Row],[ENLACE]]))</f>
        <v>celta-vigo</v>
      </c>
      <c r="B515" s="2" t="s">
        <v>45</v>
      </c>
      <c r="C515" t="str">
        <f>_xlfn.TEXTBEFORE(_xlfn.TEXTAFTER(Tabla1[[#This Row],[ENLACE]],"/",1),"/")</f>
        <v>spain</v>
      </c>
      <c r="D515" t="str">
        <f>Tabla1[[#This Row],[PAIS]]</f>
        <v>spain</v>
      </c>
      <c r="E515" s="8" t="str">
        <f ca="1">IF(VLOOKUP(Tabla1[[#This Row],[PAIS]],$H$2:$I$34,2)="x","SI","NO")</f>
        <v>NO</v>
      </c>
    </row>
    <row r="516" spans="1:5" x14ac:dyDescent="0.3">
      <c r="A516" t="str">
        <f>MID(Tabla1[[#This Row],[ENLACE]],FIND("~",SUBSTITUTE(Tabla1[[#This Row],[ENLACE]],"/","~",2))+1,LEN(Tabla1[[#This Row],[ENLACE]]))</f>
        <v>elche-cf</v>
      </c>
      <c r="B516" s="5" t="s">
        <v>502</v>
      </c>
      <c r="C516" t="str">
        <f>_xlfn.TEXTBEFORE(_xlfn.TEXTAFTER(Tabla1[[#This Row],[ENLACE]],"/",1),"/")</f>
        <v>spain</v>
      </c>
      <c r="D516" t="str">
        <f>Tabla1[[#This Row],[PAIS]]</f>
        <v>spain</v>
      </c>
      <c r="E516" s="8" t="str">
        <f ca="1">IF(VLOOKUP(Tabla1[[#This Row],[PAIS]],$H$2:$I$34,2)="x","SI","NO")</f>
        <v>NO</v>
      </c>
    </row>
    <row r="517" spans="1:5" x14ac:dyDescent="0.3">
      <c r="A517" t="str">
        <f>MID(Tabla1[[#This Row],[ENLACE]],FIND("~",SUBSTITUTE(Tabla1[[#This Row],[ENLACE]],"/","~",2))+1,LEN(Tabla1[[#This Row],[ENLACE]]))</f>
        <v>rcd-espanyol</v>
      </c>
      <c r="B517" s="2" t="s">
        <v>46</v>
      </c>
      <c r="C517" t="str">
        <f>_xlfn.TEXTBEFORE(_xlfn.TEXTAFTER(Tabla1[[#This Row],[ENLACE]],"/",1),"/")</f>
        <v>spain</v>
      </c>
      <c r="D517" t="str">
        <f>Tabla1[[#This Row],[PAIS]]</f>
        <v>spain</v>
      </c>
      <c r="E517" s="8" t="str">
        <f ca="1">IF(VLOOKUP(Tabla1[[#This Row],[PAIS]],$H$2:$I$34,2)="x","SI","NO")</f>
        <v>NO</v>
      </c>
    </row>
    <row r="518" spans="1:5" x14ac:dyDescent="0.3">
      <c r="A518" t="str">
        <f>MID(Tabla1[[#This Row],[ENLACE]],FIND("~",SUBSTITUTE(Tabla1[[#This Row],[ENLACE]],"/","~",2))+1,LEN(Tabla1[[#This Row],[ENLACE]]))</f>
        <v>getafe-cf</v>
      </c>
      <c r="B518" s="5" t="s">
        <v>47</v>
      </c>
      <c r="C518" t="str">
        <f>_xlfn.TEXTBEFORE(_xlfn.TEXTAFTER(Tabla1[[#This Row],[ENLACE]],"/",1),"/")</f>
        <v>spain</v>
      </c>
      <c r="D518" t="str">
        <f>Tabla1[[#This Row],[PAIS]]</f>
        <v>spain</v>
      </c>
      <c r="E518" s="8" t="str">
        <f ca="1">IF(VLOOKUP(Tabla1[[#This Row],[PAIS]],$H$2:$I$34,2)="x","SI","NO")</f>
        <v>NO</v>
      </c>
    </row>
    <row r="519" spans="1:5" x14ac:dyDescent="0.3">
      <c r="A519" t="str">
        <f>MID(Tabla1[[#This Row],[ENLACE]],FIND("~",SUBSTITUTE(Tabla1[[#This Row],[ENLACE]],"/","~",2))+1,LEN(Tabla1[[#This Row],[ENLACE]]))</f>
        <v>girona-fc</v>
      </c>
      <c r="B519" s="2" t="s">
        <v>48</v>
      </c>
      <c r="C519" t="str">
        <f>_xlfn.TEXTBEFORE(_xlfn.TEXTAFTER(Tabla1[[#This Row],[ENLACE]],"/",1),"/")</f>
        <v>spain</v>
      </c>
      <c r="D519" t="str">
        <f>Tabla1[[#This Row],[PAIS]]</f>
        <v>spain</v>
      </c>
      <c r="E519" s="8" t="str">
        <f ca="1">IF(VLOOKUP(Tabla1[[#This Row],[PAIS]],$H$2:$I$34,2)="x","SI","NO")</f>
        <v>NO</v>
      </c>
    </row>
    <row r="520" spans="1:5" x14ac:dyDescent="0.3">
      <c r="A520" t="str">
        <f>MID(Tabla1[[#This Row],[ENLACE]],FIND("~",SUBSTITUTE(Tabla1[[#This Row],[ENLACE]],"/","~",2))+1,LEN(Tabla1[[#This Row],[ENLACE]]))</f>
        <v>levante-ud</v>
      </c>
      <c r="B520" s="5" t="s">
        <v>503</v>
      </c>
      <c r="C520" t="str">
        <f>_xlfn.TEXTBEFORE(_xlfn.TEXTAFTER(Tabla1[[#This Row],[ENLACE]],"/",1),"/")</f>
        <v>spain</v>
      </c>
      <c r="D520" t="str">
        <f>Tabla1[[#This Row],[PAIS]]</f>
        <v>spain</v>
      </c>
      <c r="E520" s="8" t="str">
        <f ca="1">IF(VLOOKUP(Tabla1[[#This Row],[PAIS]],$H$2:$I$34,2)="x","SI","NO")</f>
        <v>NO</v>
      </c>
    </row>
    <row r="521" spans="1:5" x14ac:dyDescent="0.3">
      <c r="A521" t="str">
        <f>MID(Tabla1[[#This Row],[ENLACE]],FIND("~",SUBSTITUTE(Tabla1[[#This Row],[ENLACE]],"/","~",2))+1,LEN(Tabla1[[#This Row],[ENLACE]]))</f>
        <v>rcd-mallorca</v>
      </c>
      <c r="B521" s="2" t="s">
        <v>51</v>
      </c>
      <c r="C521" t="str">
        <f>_xlfn.TEXTBEFORE(_xlfn.TEXTAFTER(Tabla1[[#This Row],[ENLACE]],"/",1),"/")</f>
        <v>spain</v>
      </c>
      <c r="D521" t="str">
        <f>Tabla1[[#This Row],[PAIS]]</f>
        <v>spain</v>
      </c>
      <c r="E521" s="8" t="str">
        <f ca="1">IF(VLOOKUP(Tabla1[[#This Row],[PAIS]],$H$2:$I$34,2)="x","SI","NO")</f>
        <v>NO</v>
      </c>
    </row>
    <row r="522" spans="1:5" x14ac:dyDescent="0.3">
      <c r="A522" t="str">
        <f>MID(Tabla1[[#This Row],[ENLACE]],FIND("~",SUBSTITUTE(Tabla1[[#This Row],[ENLACE]],"/","~",2))+1,LEN(Tabla1[[#This Row],[ENLACE]]))</f>
        <v>ca-osasuna</v>
      </c>
      <c r="B522" s="5" t="s">
        <v>52</v>
      </c>
      <c r="C522" t="str">
        <f>_xlfn.TEXTBEFORE(_xlfn.TEXTAFTER(Tabla1[[#This Row],[ENLACE]],"/",1),"/")</f>
        <v>spain</v>
      </c>
      <c r="D522" t="str">
        <f>Tabla1[[#This Row],[PAIS]]</f>
        <v>spain</v>
      </c>
      <c r="E522" s="8" t="str">
        <f ca="1">IF(VLOOKUP(Tabla1[[#This Row],[PAIS]],$H$2:$I$34,2)="x","SI","NO")</f>
        <v>NO</v>
      </c>
    </row>
    <row r="523" spans="1:5" x14ac:dyDescent="0.3">
      <c r="A523" t="str">
        <f>MID(Tabla1[[#This Row],[ENLACE]],FIND("~",SUBSTITUTE(Tabla1[[#This Row],[ENLACE]],"/","~",2))+1,LEN(Tabla1[[#This Row],[ENLACE]]))</f>
        <v>real-oviedo</v>
      </c>
      <c r="B523" s="2" t="s">
        <v>504</v>
      </c>
      <c r="C523" t="str">
        <f>_xlfn.TEXTBEFORE(_xlfn.TEXTAFTER(Tabla1[[#This Row],[ENLACE]],"/",1),"/")</f>
        <v>spain</v>
      </c>
      <c r="D523" t="str">
        <f>Tabla1[[#This Row],[PAIS]]</f>
        <v>spain</v>
      </c>
      <c r="E523" s="8" t="str">
        <f ca="1">IF(VLOOKUP(Tabla1[[#This Row],[PAIS]],$H$2:$I$34,2)="x","SI","NO")</f>
        <v>NO</v>
      </c>
    </row>
    <row r="524" spans="1:5" x14ac:dyDescent="0.3">
      <c r="A524" t="str">
        <f>MID(Tabla1[[#This Row],[ENLACE]],FIND("~",SUBSTITUTE(Tabla1[[#This Row],[ENLACE]],"/","~",2))+1,LEN(Tabla1[[#This Row],[ENLACE]]))</f>
        <v>rayo-vallecano</v>
      </c>
      <c r="B524" s="5" t="s">
        <v>53</v>
      </c>
      <c r="C524" t="str">
        <f>_xlfn.TEXTBEFORE(_xlfn.TEXTAFTER(Tabla1[[#This Row],[ENLACE]],"/",1),"/")</f>
        <v>spain</v>
      </c>
      <c r="D524" t="str">
        <f>Tabla1[[#This Row],[PAIS]]</f>
        <v>spain</v>
      </c>
      <c r="E524" s="8" t="str">
        <f ca="1">IF(VLOOKUP(Tabla1[[#This Row],[PAIS]],$H$2:$I$34,2)="x","SI","NO")</f>
        <v>NO</v>
      </c>
    </row>
    <row r="525" spans="1:5" x14ac:dyDescent="0.3">
      <c r="A525" t="str">
        <f>MID(Tabla1[[#This Row],[ENLACE]],FIND("~",SUBSTITUTE(Tabla1[[#This Row],[ENLACE]],"/","~",2))+1,LEN(Tabla1[[#This Row],[ENLACE]]))</f>
        <v>real-madrid-cf</v>
      </c>
      <c r="B525" s="2" t="s">
        <v>54</v>
      </c>
      <c r="C525" t="str">
        <f>_xlfn.TEXTBEFORE(_xlfn.TEXTAFTER(Tabla1[[#This Row],[ENLACE]],"/",1),"/")</f>
        <v>spain</v>
      </c>
      <c r="D525" t="str">
        <f>Tabla1[[#This Row],[PAIS]]</f>
        <v>spain</v>
      </c>
      <c r="E525" s="8" t="str">
        <f ca="1">IF(VLOOKUP(Tabla1[[#This Row],[PAIS]],$H$2:$I$34,2)="x","SI","NO")</f>
        <v>NO</v>
      </c>
    </row>
    <row r="526" spans="1:5" x14ac:dyDescent="0.3">
      <c r="A526" t="str">
        <f>MID(Tabla1[[#This Row],[ENLACE]],FIND("~",SUBSTITUTE(Tabla1[[#This Row],[ENLACE]],"/","~",2))+1,LEN(Tabla1[[#This Row],[ENLACE]]))</f>
        <v>real-sociedad</v>
      </c>
      <c r="B526" s="5" t="s">
        <v>55</v>
      </c>
      <c r="C526" t="str">
        <f>_xlfn.TEXTBEFORE(_xlfn.TEXTAFTER(Tabla1[[#This Row],[ENLACE]],"/",1),"/")</f>
        <v>spain</v>
      </c>
      <c r="D526" t="str">
        <f>Tabla1[[#This Row],[PAIS]]</f>
        <v>spain</v>
      </c>
      <c r="E526" s="8" t="str">
        <f ca="1">IF(VLOOKUP(Tabla1[[#This Row],[PAIS]],$H$2:$I$34,2)="x","SI","NO")</f>
        <v>NO</v>
      </c>
    </row>
    <row r="527" spans="1:5" x14ac:dyDescent="0.3">
      <c r="A527" t="str">
        <f>MID(Tabla1[[#This Row],[ENLACE]],FIND("~",SUBSTITUTE(Tabla1[[#This Row],[ENLACE]],"/","~",2))+1,LEN(Tabla1[[#This Row],[ENLACE]]))</f>
        <v>sevilla-fc</v>
      </c>
      <c r="B527" s="2" t="s">
        <v>56</v>
      </c>
      <c r="C527" t="str">
        <f>_xlfn.TEXTBEFORE(_xlfn.TEXTAFTER(Tabla1[[#This Row],[ENLACE]],"/",1),"/")</f>
        <v>spain</v>
      </c>
      <c r="D527" t="str">
        <f>Tabla1[[#This Row],[PAIS]]</f>
        <v>spain</v>
      </c>
      <c r="E527" s="8" t="str">
        <f ca="1">IF(VLOOKUP(Tabla1[[#This Row],[PAIS]],$H$2:$I$34,2)="x","SI","NO")</f>
        <v>NO</v>
      </c>
    </row>
    <row r="528" spans="1:5" x14ac:dyDescent="0.3">
      <c r="A528" t="str">
        <f>MID(Tabla1[[#This Row],[ENLACE]],FIND("~",SUBSTITUTE(Tabla1[[#This Row],[ENLACE]],"/","~",2))+1,LEN(Tabla1[[#This Row],[ENLACE]]))</f>
        <v>valencia-cf</v>
      </c>
      <c r="B528" s="5" t="s">
        <v>57</v>
      </c>
      <c r="C528" t="str">
        <f>_xlfn.TEXTBEFORE(_xlfn.TEXTAFTER(Tabla1[[#This Row],[ENLACE]],"/",1),"/")</f>
        <v>spain</v>
      </c>
      <c r="D528" t="str">
        <f>Tabla1[[#This Row],[PAIS]]</f>
        <v>spain</v>
      </c>
      <c r="E528" s="8" t="str">
        <f ca="1">IF(VLOOKUP(Tabla1[[#This Row],[PAIS]],$H$2:$I$34,2)="x","SI","NO")</f>
        <v>NO</v>
      </c>
    </row>
    <row r="529" spans="1:5" x14ac:dyDescent="0.3">
      <c r="A529" t="str">
        <f>MID(Tabla1[[#This Row],[ENLACE]],FIND("~",SUBSTITUTE(Tabla1[[#This Row],[ENLACE]],"/","~",2))+1,LEN(Tabla1[[#This Row],[ENLACE]]))</f>
        <v>villarreal-cf</v>
      </c>
      <c r="B529" s="2" t="s">
        <v>59</v>
      </c>
      <c r="C529" t="str">
        <f>_xlfn.TEXTBEFORE(_xlfn.TEXTAFTER(Tabla1[[#This Row],[ENLACE]],"/",1),"/")</f>
        <v>spain</v>
      </c>
      <c r="D529" t="str">
        <f>Tabla1[[#This Row],[PAIS]]</f>
        <v>spain</v>
      </c>
      <c r="E529" s="8" t="str">
        <f ca="1">IF(VLOOKUP(Tabla1[[#This Row],[PAIS]],$H$2:$I$34,2)="x","SI","NO")</f>
        <v>NO</v>
      </c>
    </row>
    <row r="530" spans="1:5" x14ac:dyDescent="0.3">
      <c r="A530" t="str">
        <f>MID(Tabla1[[#This Row],[ENLACE]],FIND("~",SUBSTITUTE(Tabla1[[#This Row],[ENLACE]],"/","~",2))+1,LEN(Tabla1[[#This Row],[ENLACE]]))</f>
        <v>albacete-balompie</v>
      </c>
      <c r="B530" s="5" t="s">
        <v>421</v>
      </c>
      <c r="C530" t="str">
        <f>_xlfn.TEXTBEFORE(_xlfn.TEXTAFTER(Tabla1[[#This Row],[ENLACE]],"/",1),"/")</f>
        <v>spain</v>
      </c>
      <c r="D530" t="s">
        <v>613</v>
      </c>
      <c r="E530" s="8" t="str">
        <f ca="1">IF(VLOOKUP(Tabla1[[#This Row],[PAIS]],$H$2:$I$34,2)="x","SI","NO")</f>
        <v>NO</v>
      </c>
    </row>
    <row r="531" spans="1:5" x14ac:dyDescent="0.3">
      <c r="A531" t="str">
        <f>MID(Tabla1[[#This Row],[ENLACE]],FIND("~",SUBSTITUTE(Tabla1[[#This Row],[ENLACE]],"/","~",2))+1,LEN(Tabla1[[#This Row],[ENLACE]]))</f>
        <v>ud-almeria</v>
      </c>
      <c r="B531" s="2" t="s">
        <v>422</v>
      </c>
      <c r="C531" t="str">
        <f>_xlfn.TEXTBEFORE(_xlfn.TEXTAFTER(Tabla1[[#This Row],[ENLACE]],"/",1),"/")</f>
        <v>spain</v>
      </c>
      <c r="D531" t="s">
        <v>613</v>
      </c>
      <c r="E531" s="8" t="str">
        <f ca="1">IF(VLOOKUP(Tabla1[[#This Row],[PAIS]],$H$2:$I$34,2)="x","SI","NO")</f>
        <v>NO</v>
      </c>
    </row>
    <row r="532" spans="1:5" x14ac:dyDescent="0.3">
      <c r="A532" t="str">
        <f>MID(Tabla1[[#This Row],[ENLACE]],FIND("~",SUBSTITUTE(Tabla1[[#This Row],[ENLACE]],"/","~",2))+1,LEN(Tabla1[[#This Row],[ENLACE]]))</f>
        <v>fc-andorra</v>
      </c>
      <c r="B532" s="5" t="s">
        <v>490</v>
      </c>
      <c r="C532" t="str">
        <f>_xlfn.TEXTBEFORE(_xlfn.TEXTAFTER(Tabla1[[#This Row],[ENLACE]],"/",1),"/")</f>
        <v>spain</v>
      </c>
      <c r="D532" t="s">
        <v>613</v>
      </c>
      <c r="E532" s="8" t="str">
        <f ca="1">IF(VLOOKUP(Tabla1[[#This Row],[PAIS]],$H$2:$I$34,2)="x","SI","NO")</f>
        <v>NO</v>
      </c>
    </row>
    <row r="533" spans="1:5" x14ac:dyDescent="0.3">
      <c r="A533" t="str">
        <f>MID(Tabla1[[#This Row],[ENLACE]],FIND("~",SUBSTITUTE(Tabla1[[#This Row],[ENLACE]],"/","~",2))+1,LEN(Tabla1[[#This Row],[ENLACE]]))</f>
        <v>burgos-cf</v>
      </c>
      <c r="B533" s="2" t="s">
        <v>423</v>
      </c>
      <c r="C533" t="str">
        <f>_xlfn.TEXTBEFORE(_xlfn.TEXTAFTER(Tabla1[[#This Row],[ENLACE]],"/",1),"/")</f>
        <v>spain</v>
      </c>
      <c r="D533" t="s">
        <v>613</v>
      </c>
      <c r="E533" s="8" t="str">
        <f ca="1">IF(VLOOKUP(Tabla1[[#This Row],[PAIS]],$H$2:$I$34,2)="x","SI","NO")</f>
        <v>NO</v>
      </c>
    </row>
    <row r="534" spans="1:5" x14ac:dyDescent="0.3">
      <c r="A534" t="str">
        <f>MID(Tabla1[[#This Row],[ENLACE]],FIND("~",SUBSTITUTE(Tabla1[[#This Row],[ENLACE]],"/","~",2))+1,LEN(Tabla1[[#This Row],[ENLACE]]))</f>
        <v>cadiz-cf</v>
      </c>
      <c r="B534" s="5" t="s">
        <v>424</v>
      </c>
      <c r="C534" t="str">
        <f>_xlfn.TEXTBEFORE(_xlfn.TEXTAFTER(Tabla1[[#This Row],[ENLACE]],"/",1),"/")</f>
        <v>spain</v>
      </c>
      <c r="D534" t="s">
        <v>613</v>
      </c>
      <c r="E534" s="8" t="str">
        <f ca="1">IF(VLOOKUP(Tabla1[[#This Row],[PAIS]],$H$2:$I$34,2)="x","SI","NO")</f>
        <v>NO</v>
      </c>
    </row>
    <row r="535" spans="1:5" x14ac:dyDescent="0.3">
      <c r="A535" t="str">
        <f>MID(Tabla1[[#This Row],[ENLACE]],FIND("~",SUBSTITUTE(Tabla1[[#This Row],[ENLACE]],"/","~",2))+1,LEN(Tabla1[[#This Row],[ENLACE]]))</f>
        <v>cd-castellon</v>
      </c>
      <c r="B535" s="2" t="s">
        <v>425</v>
      </c>
      <c r="C535" t="str">
        <f>_xlfn.TEXTBEFORE(_xlfn.TEXTAFTER(Tabla1[[#This Row],[ENLACE]],"/",1),"/")</f>
        <v>spain</v>
      </c>
      <c r="D535" t="s">
        <v>613</v>
      </c>
      <c r="E535" s="8" t="str">
        <f ca="1">IF(VLOOKUP(Tabla1[[#This Row],[PAIS]],$H$2:$I$34,2)="x","SI","NO")</f>
        <v>NO</v>
      </c>
    </row>
    <row r="536" spans="1:5" x14ac:dyDescent="0.3">
      <c r="A536" t="str">
        <f>MID(Tabla1[[#This Row],[ENLACE]],FIND("~",SUBSTITUTE(Tabla1[[#This Row],[ENLACE]],"/","~",2))+1,LEN(Tabla1[[#This Row],[ENLACE]]))</f>
        <v>ad-ceuta-fc</v>
      </c>
      <c r="B536" s="5" t="s">
        <v>491</v>
      </c>
      <c r="C536" t="str">
        <f>_xlfn.TEXTBEFORE(_xlfn.TEXTAFTER(Tabla1[[#This Row],[ENLACE]],"/",1),"/")</f>
        <v>spain</v>
      </c>
      <c r="D536" t="s">
        <v>613</v>
      </c>
      <c r="E536" s="8" t="str">
        <f ca="1">IF(VLOOKUP(Tabla1[[#This Row],[PAIS]],$H$2:$I$34,2)="x","SI","NO")</f>
        <v>NO</v>
      </c>
    </row>
    <row r="537" spans="1:5" x14ac:dyDescent="0.3">
      <c r="A537" t="str">
        <f>MID(Tabla1[[#This Row],[ENLACE]],FIND("~",SUBSTITUTE(Tabla1[[#This Row],[ENLACE]],"/","~",2))+1,LEN(Tabla1[[#This Row],[ENLACE]]))</f>
        <v>cordoba-cf</v>
      </c>
      <c r="B537" s="2" t="s">
        <v>426</v>
      </c>
      <c r="C537" t="str">
        <f>_xlfn.TEXTBEFORE(_xlfn.TEXTAFTER(Tabla1[[#This Row],[ENLACE]],"/",1),"/")</f>
        <v>spain</v>
      </c>
      <c r="D537" t="s">
        <v>613</v>
      </c>
      <c r="E537" s="8" t="str">
        <f ca="1">IF(VLOOKUP(Tabla1[[#This Row],[PAIS]],$H$2:$I$34,2)="x","SI","NO")</f>
        <v>NO</v>
      </c>
    </row>
    <row r="538" spans="1:5" x14ac:dyDescent="0.3">
      <c r="A538" t="str">
        <f>MID(Tabla1[[#This Row],[ENLACE]],FIND("~",SUBSTITUTE(Tabla1[[#This Row],[ENLACE]],"/","~",2))+1,LEN(Tabla1[[#This Row],[ENLACE]]))</f>
        <v>cultural-y-deportiva-leonesa</v>
      </c>
      <c r="B538" s="5" t="s">
        <v>492</v>
      </c>
      <c r="C538" t="str">
        <f>_xlfn.TEXTBEFORE(_xlfn.TEXTAFTER(Tabla1[[#This Row],[ENLACE]],"/",1),"/")</f>
        <v>spain</v>
      </c>
      <c r="D538" t="s">
        <v>613</v>
      </c>
      <c r="E538" s="8" t="str">
        <f ca="1">IF(VLOOKUP(Tabla1[[#This Row],[PAIS]],$H$2:$I$34,2)="x","SI","NO")</f>
        <v>NO</v>
      </c>
    </row>
    <row r="539" spans="1:5" x14ac:dyDescent="0.3">
      <c r="A539" t="str">
        <f>MID(Tabla1[[#This Row],[ENLACE]],FIND("~",SUBSTITUTE(Tabla1[[#This Row],[ENLACE]],"/","~",2))+1,LEN(Tabla1[[#This Row],[ENLACE]]))</f>
        <v>sd-eibar</v>
      </c>
      <c r="B539" s="2" t="s">
        <v>427</v>
      </c>
      <c r="C539" t="str">
        <f>_xlfn.TEXTBEFORE(_xlfn.TEXTAFTER(Tabla1[[#This Row],[ENLACE]],"/",1),"/")</f>
        <v>spain</v>
      </c>
      <c r="D539" t="s">
        <v>613</v>
      </c>
      <c r="E539" s="8" t="str">
        <f ca="1">IF(VLOOKUP(Tabla1[[#This Row],[PAIS]],$H$2:$I$34,2)="x","SI","NO")</f>
        <v>NO</v>
      </c>
    </row>
    <row r="540" spans="1:5" x14ac:dyDescent="0.3">
      <c r="A540" t="str">
        <f>MID(Tabla1[[#This Row],[ENLACE]],FIND("~",SUBSTITUTE(Tabla1[[#This Row],[ENLACE]],"/","~",2))+1,LEN(Tabla1[[#This Row],[ENLACE]]))</f>
        <v>sporting-de-gijon</v>
      </c>
      <c r="B540" s="5" t="s">
        <v>428</v>
      </c>
      <c r="C540" t="str">
        <f>_xlfn.TEXTBEFORE(_xlfn.TEXTAFTER(Tabla1[[#This Row],[ENLACE]],"/",1),"/")</f>
        <v>spain</v>
      </c>
      <c r="D540" t="s">
        <v>613</v>
      </c>
      <c r="E540" s="8" t="str">
        <f ca="1">IF(VLOOKUP(Tabla1[[#This Row],[PAIS]],$H$2:$I$34,2)="x","SI","NO")</f>
        <v>NO</v>
      </c>
    </row>
    <row r="541" spans="1:5" x14ac:dyDescent="0.3">
      <c r="A541" t="str">
        <f>MID(Tabla1[[#This Row],[ENLACE]],FIND("~",SUBSTITUTE(Tabla1[[#This Row],[ENLACE]],"/","~",2))+1,LEN(Tabla1[[#This Row],[ENLACE]]))</f>
        <v>granada-cf</v>
      </c>
      <c r="B541" s="2" t="s">
        <v>429</v>
      </c>
      <c r="C541" t="str">
        <f>_xlfn.TEXTBEFORE(_xlfn.TEXTAFTER(Tabla1[[#This Row],[ENLACE]],"/",1),"/")</f>
        <v>spain</v>
      </c>
      <c r="D541" t="s">
        <v>613</v>
      </c>
      <c r="E541" s="8" t="str">
        <f ca="1">IF(VLOOKUP(Tabla1[[#This Row],[PAIS]],$H$2:$I$34,2)="x","SI","NO")</f>
        <v>NO</v>
      </c>
    </row>
    <row r="542" spans="1:5" x14ac:dyDescent="0.3">
      <c r="A542" t="str">
        <f>MID(Tabla1[[#This Row],[ENLACE]],FIND("~",SUBSTITUTE(Tabla1[[#This Row],[ENLACE]],"/","~",2))+1,LEN(Tabla1[[#This Row],[ENLACE]]))</f>
        <v>sd-huesca</v>
      </c>
      <c r="B542" s="5" t="s">
        <v>430</v>
      </c>
      <c r="C542" t="str">
        <f>_xlfn.TEXTBEFORE(_xlfn.TEXTAFTER(Tabla1[[#This Row],[ENLACE]],"/",1),"/")</f>
        <v>spain</v>
      </c>
      <c r="D542" t="s">
        <v>613</v>
      </c>
      <c r="E542" s="8" t="str">
        <f ca="1">IF(VLOOKUP(Tabla1[[#This Row],[PAIS]],$H$2:$I$34,2)="x","SI","NO")</f>
        <v>NO</v>
      </c>
    </row>
    <row r="543" spans="1:5" x14ac:dyDescent="0.3">
      <c r="A543" t="str">
        <f>MID(Tabla1[[#This Row],[ENLACE]],FIND("~",SUBSTITUTE(Tabla1[[#This Row],[ENLACE]],"/","~",2))+1,LEN(Tabla1[[#This Row],[ENLACE]]))</f>
        <v>deportivo-de-la-coruna</v>
      </c>
      <c r="B543" s="2" t="s">
        <v>431</v>
      </c>
      <c r="C543" t="str">
        <f>_xlfn.TEXTBEFORE(_xlfn.TEXTAFTER(Tabla1[[#This Row],[ENLACE]],"/",1),"/")</f>
        <v>spain</v>
      </c>
      <c r="D543" t="s">
        <v>613</v>
      </c>
      <c r="E543" s="8" t="str">
        <f ca="1">IF(VLOOKUP(Tabla1[[#This Row],[PAIS]],$H$2:$I$34,2)="x","SI","NO")</f>
        <v>NO</v>
      </c>
    </row>
    <row r="544" spans="1:5" x14ac:dyDescent="0.3">
      <c r="A544" t="str">
        <f>MID(Tabla1[[#This Row],[ENLACE]],FIND("~",SUBSTITUTE(Tabla1[[#This Row],[ENLACE]],"/","~",2))+1,LEN(Tabla1[[#This Row],[ENLACE]]))</f>
        <v>ud-las-palmas</v>
      </c>
      <c r="B544" s="5" t="s">
        <v>49</v>
      </c>
      <c r="C544" t="str">
        <f>_xlfn.TEXTBEFORE(_xlfn.TEXTAFTER(Tabla1[[#This Row],[ENLACE]],"/",1),"/")</f>
        <v>spain</v>
      </c>
      <c r="D544" t="s">
        <v>613</v>
      </c>
      <c r="E544" s="8" t="str">
        <f ca="1">IF(VLOOKUP(Tabla1[[#This Row],[PAIS]],$H$2:$I$34,2)="x","SI","NO")</f>
        <v>NO</v>
      </c>
    </row>
    <row r="545" spans="1:5" x14ac:dyDescent="0.3">
      <c r="A545" t="str">
        <f>MID(Tabla1[[#This Row],[ENLACE]],FIND("~",SUBSTITUTE(Tabla1[[#This Row],[ENLACE]],"/","~",2))+1,LEN(Tabla1[[#This Row],[ENLACE]]))</f>
        <v>cd-leganes</v>
      </c>
      <c r="B545" s="2" t="s">
        <v>50</v>
      </c>
      <c r="C545" t="str">
        <f>_xlfn.TEXTBEFORE(_xlfn.TEXTAFTER(Tabla1[[#This Row],[ENLACE]],"/",1),"/")</f>
        <v>spain</v>
      </c>
      <c r="D545" t="s">
        <v>613</v>
      </c>
      <c r="E545" s="8" t="str">
        <f ca="1">IF(VLOOKUP(Tabla1[[#This Row],[PAIS]],$H$2:$I$34,2)="x","SI","NO")</f>
        <v>NO</v>
      </c>
    </row>
    <row r="546" spans="1:5" x14ac:dyDescent="0.3">
      <c r="A546" t="str">
        <f>MID(Tabla1[[#This Row],[ENLACE]],FIND("~",SUBSTITUTE(Tabla1[[#This Row],[ENLACE]],"/","~",2))+1,LEN(Tabla1[[#This Row],[ENLACE]]))</f>
        <v>malaga-cf</v>
      </c>
      <c r="B546" s="5" t="s">
        <v>432</v>
      </c>
      <c r="C546" t="str">
        <f>_xlfn.TEXTBEFORE(_xlfn.TEXTAFTER(Tabla1[[#This Row],[ENLACE]],"/",1),"/")</f>
        <v>spain</v>
      </c>
      <c r="D546" t="s">
        <v>613</v>
      </c>
      <c r="E546" s="8" t="str">
        <f ca="1">IF(VLOOKUP(Tabla1[[#This Row],[PAIS]],$H$2:$I$34,2)="x","SI","NO")</f>
        <v>NO</v>
      </c>
    </row>
    <row r="547" spans="1:5" x14ac:dyDescent="0.3">
      <c r="A547" t="str">
        <f>MID(Tabla1[[#This Row],[ENLACE]],FIND("~",SUBSTITUTE(Tabla1[[#This Row],[ENLACE]],"/","~",2))+1,LEN(Tabla1[[#This Row],[ENLACE]]))</f>
        <v>cd-mirandes</v>
      </c>
      <c r="B547" s="2" t="s">
        <v>433</v>
      </c>
      <c r="C547" t="str">
        <f>_xlfn.TEXTBEFORE(_xlfn.TEXTAFTER(Tabla1[[#This Row],[ENLACE]],"/",1),"/")</f>
        <v>spain</v>
      </c>
      <c r="D547" t="s">
        <v>613</v>
      </c>
      <c r="E547" s="8" t="str">
        <f ca="1">IF(VLOOKUP(Tabla1[[#This Row],[PAIS]],$H$2:$I$34,2)="x","SI","NO")</f>
        <v>NO</v>
      </c>
    </row>
    <row r="548" spans="1:5" x14ac:dyDescent="0.3">
      <c r="A548" t="str">
        <f>MID(Tabla1[[#This Row],[ENLACE]],FIND("~",SUBSTITUTE(Tabla1[[#This Row],[ENLACE]],"/","~",2))+1,LEN(Tabla1[[#This Row],[ENLACE]]))</f>
        <v>racing-de-santander</v>
      </c>
      <c r="B548" s="5" t="s">
        <v>434</v>
      </c>
      <c r="C548" t="str">
        <f>_xlfn.TEXTBEFORE(_xlfn.TEXTAFTER(Tabla1[[#This Row],[ENLACE]],"/",1),"/")</f>
        <v>spain</v>
      </c>
      <c r="D548" t="s">
        <v>613</v>
      </c>
      <c r="E548" s="8" t="str">
        <f ca="1">IF(VLOOKUP(Tabla1[[#This Row],[PAIS]],$H$2:$I$34,2)="x","SI","NO")</f>
        <v>NO</v>
      </c>
    </row>
    <row r="549" spans="1:5" x14ac:dyDescent="0.3">
      <c r="A549" t="str">
        <f>MID(Tabla1[[#This Row],[ENLACE]],FIND("~",SUBSTITUTE(Tabla1[[#This Row],[ENLACE]],"/","~",2))+1,LEN(Tabla1[[#This Row],[ENLACE]]))</f>
        <v>real-sociedad-b</v>
      </c>
      <c r="B549" s="2" t="s">
        <v>493</v>
      </c>
      <c r="C549" t="str">
        <f>_xlfn.TEXTBEFORE(_xlfn.TEXTAFTER(Tabla1[[#This Row],[ENLACE]],"/",1),"/")</f>
        <v>spain</v>
      </c>
      <c r="D549" t="s">
        <v>613</v>
      </c>
      <c r="E549" s="8" t="str">
        <f ca="1">IF(VLOOKUP(Tabla1[[#This Row],[PAIS]],$H$2:$I$34,2)="x","SI","NO")</f>
        <v>NO</v>
      </c>
    </row>
    <row r="550" spans="1:5" x14ac:dyDescent="0.3">
      <c r="A550" t="str">
        <f>MID(Tabla1[[#This Row],[ENLACE]],FIND("~",SUBSTITUTE(Tabla1[[#This Row],[ENLACE]],"/","~",2))+1,LEN(Tabla1[[#This Row],[ENLACE]]))</f>
        <v>real-valladolid</v>
      </c>
      <c r="B550" s="5" t="s">
        <v>58</v>
      </c>
      <c r="C550" t="str">
        <f>_xlfn.TEXTBEFORE(_xlfn.TEXTAFTER(Tabla1[[#This Row],[ENLACE]],"/",1),"/")</f>
        <v>spain</v>
      </c>
      <c r="D550" t="s">
        <v>613</v>
      </c>
      <c r="E550" s="8" t="str">
        <f ca="1">IF(VLOOKUP(Tabla1[[#This Row],[PAIS]],$H$2:$I$34,2)="x","SI","NO")</f>
        <v>NO</v>
      </c>
    </row>
    <row r="551" spans="1:5" x14ac:dyDescent="0.3">
      <c r="A551" t="str">
        <f>MID(Tabla1[[#This Row],[ENLACE]],FIND("~",SUBSTITUTE(Tabla1[[#This Row],[ENLACE]],"/","~",2))+1,LEN(Tabla1[[#This Row],[ENLACE]]))</f>
        <v>real-zaragoza</v>
      </c>
      <c r="B551" s="2" t="s">
        <v>435</v>
      </c>
      <c r="C551" t="str">
        <f>_xlfn.TEXTBEFORE(_xlfn.TEXTAFTER(Tabla1[[#This Row],[ENLACE]],"/",1),"/")</f>
        <v>spain</v>
      </c>
      <c r="D551" t="s">
        <v>613</v>
      </c>
      <c r="E551" s="8" t="str">
        <f ca="1">IF(VLOOKUP(Tabla1[[#This Row],[PAIS]],$H$2:$I$34,2)="x","SI","NO")</f>
        <v>NO</v>
      </c>
    </row>
    <row r="552" spans="1:5" x14ac:dyDescent="0.3">
      <c r="A552" t="str">
        <f>MID(Tabla1[[#This Row],[ENLACE]],FIND("~",SUBSTITUTE(Tabla1[[#This Row],[ENLACE]],"/","~",2))+1,LEN(Tabla1[[#This Row],[ENLACE]]))</f>
        <v>aik</v>
      </c>
      <c r="B552" s="5" t="s">
        <v>436</v>
      </c>
      <c r="C552" t="str">
        <f>_xlfn.TEXTBEFORE(_xlfn.TEXTAFTER(Tabla1[[#This Row],[ENLACE]],"/",1),"/")</f>
        <v>sweden</v>
      </c>
      <c r="D552" t="str">
        <f>Tabla1[[#This Row],[PAIS]]</f>
        <v>sweden</v>
      </c>
      <c r="E552" s="8" t="str">
        <f ca="1">IF(VLOOKUP(Tabla1[[#This Row],[PAIS]],$H$2:$I$34,2)="x","SI","NO")</f>
        <v>NO</v>
      </c>
    </row>
    <row r="553" spans="1:5" x14ac:dyDescent="0.3">
      <c r="A553" t="str">
        <f>MID(Tabla1[[#This Row],[ENLACE]],FIND("~",SUBSTITUTE(Tabla1[[#This Row],[ENLACE]],"/","~",2))+1,LEN(Tabla1[[#This Row],[ENLACE]]))</f>
        <v>if-brommapojkarna</v>
      </c>
      <c r="B553" s="2" t="s">
        <v>437</v>
      </c>
      <c r="C553" t="str">
        <f>_xlfn.TEXTBEFORE(_xlfn.TEXTAFTER(Tabla1[[#This Row],[ENLACE]],"/",1),"/")</f>
        <v>sweden</v>
      </c>
      <c r="D553" t="str">
        <f>Tabla1[[#This Row],[PAIS]]</f>
        <v>sweden</v>
      </c>
      <c r="E553" s="8" t="str">
        <f ca="1">IF(VLOOKUP(Tabla1[[#This Row],[PAIS]],$H$2:$I$34,2)="x","SI","NO")</f>
        <v>NO</v>
      </c>
    </row>
    <row r="554" spans="1:5" x14ac:dyDescent="0.3">
      <c r="A554" t="str">
        <f>MID(Tabla1[[#This Row],[ENLACE]],FIND("~",SUBSTITUTE(Tabla1[[#This Row],[ENLACE]],"/","~",2))+1,LEN(Tabla1[[#This Row],[ENLACE]]))</f>
        <v>degerfors-if</v>
      </c>
      <c r="B554" s="5" t="s">
        <v>438</v>
      </c>
      <c r="C554" t="str">
        <f>_xlfn.TEXTBEFORE(_xlfn.TEXTAFTER(Tabla1[[#This Row],[ENLACE]],"/",1),"/")</f>
        <v>sweden</v>
      </c>
      <c r="D554" t="str">
        <f>Tabla1[[#This Row],[PAIS]]</f>
        <v>sweden</v>
      </c>
      <c r="E554" s="8" t="str">
        <f ca="1">IF(VLOOKUP(Tabla1[[#This Row],[PAIS]],$H$2:$I$34,2)="x","SI","NO")</f>
        <v>NO</v>
      </c>
    </row>
    <row r="555" spans="1:5" x14ac:dyDescent="0.3">
      <c r="A555" t="str">
        <f>MID(Tabla1[[#This Row],[ENLACE]],FIND("~",SUBSTITUTE(Tabla1[[#This Row],[ENLACE]],"/","~",2))+1,LEN(Tabla1[[#This Row],[ENLACE]]))</f>
        <v>djurgardens-if</v>
      </c>
      <c r="B555" s="2" t="s">
        <v>439</v>
      </c>
      <c r="C555" t="str">
        <f>_xlfn.TEXTBEFORE(_xlfn.TEXTAFTER(Tabla1[[#This Row],[ENLACE]],"/",1),"/")</f>
        <v>sweden</v>
      </c>
      <c r="D555" t="str">
        <f>Tabla1[[#This Row],[PAIS]]</f>
        <v>sweden</v>
      </c>
      <c r="E555" s="8" t="str">
        <f ca="1">IF(VLOOKUP(Tabla1[[#This Row],[PAIS]],$H$2:$I$34,2)="x","SI","NO")</f>
        <v>NO</v>
      </c>
    </row>
    <row r="556" spans="1:5" x14ac:dyDescent="0.3">
      <c r="A556" t="str">
        <f>MID(Tabla1[[#This Row],[ENLACE]],FIND("~",SUBSTITUTE(Tabla1[[#This Row],[ENLACE]],"/","~",2))+1,LEN(Tabla1[[#This Row],[ENLACE]]))</f>
        <v>if-elfsborg</v>
      </c>
      <c r="B556" s="5" t="s">
        <v>440</v>
      </c>
      <c r="C556" t="str">
        <f>_xlfn.TEXTBEFORE(_xlfn.TEXTAFTER(Tabla1[[#This Row],[ENLACE]],"/",1),"/")</f>
        <v>sweden</v>
      </c>
      <c r="D556" t="str">
        <f>Tabla1[[#This Row],[PAIS]]</f>
        <v>sweden</v>
      </c>
      <c r="E556" s="8" t="str">
        <f ca="1">IF(VLOOKUP(Tabla1[[#This Row],[PAIS]],$H$2:$I$34,2)="x","SI","NO")</f>
        <v>NO</v>
      </c>
    </row>
    <row r="557" spans="1:5" x14ac:dyDescent="0.3">
      <c r="A557" t="str">
        <f>MID(Tabla1[[#This Row],[ENLACE]],FIND("~",SUBSTITUTE(Tabla1[[#This Row],[ENLACE]],"/","~",2))+1,LEN(Tabla1[[#This Row],[ENLACE]]))</f>
        <v>gais</v>
      </c>
      <c r="B557" s="2" t="s">
        <v>441</v>
      </c>
      <c r="C557" t="str">
        <f>_xlfn.TEXTBEFORE(_xlfn.TEXTAFTER(Tabla1[[#This Row],[ENLACE]],"/",1),"/")</f>
        <v>sweden</v>
      </c>
      <c r="D557" t="str">
        <f>Tabla1[[#This Row],[PAIS]]</f>
        <v>sweden</v>
      </c>
      <c r="E557" s="8" t="str">
        <f ca="1">IF(VLOOKUP(Tabla1[[#This Row],[PAIS]],$H$2:$I$34,2)="x","SI","NO")</f>
        <v>NO</v>
      </c>
    </row>
    <row r="558" spans="1:5" x14ac:dyDescent="0.3">
      <c r="A558" t="str">
        <f>MID(Tabla1[[#This Row],[ENLACE]],FIND("~",SUBSTITUTE(Tabla1[[#This Row],[ENLACE]],"/","~",2))+1,LEN(Tabla1[[#This Row],[ENLACE]]))</f>
        <v>ifk-goteborg</v>
      </c>
      <c r="B558" s="5" t="s">
        <v>442</v>
      </c>
      <c r="C558" t="str">
        <f>_xlfn.TEXTBEFORE(_xlfn.TEXTAFTER(Tabla1[[#This Row],[ENLACE]],"/",1),"/")</f>
        <v>sweden</v>
      </c>
      <c r="D558" t="str">
        <f>Tabla1[[#This Row],[PAIS]]</f>
        <v>sweden</v>
      </c>
      <c r="E558" s="8" t="str">
        <f ca="1">IF(VLOOKUP(Tabla1[[#This Row],[PAIS]],$H$2:$I$34,2)="x","SI","NO")</f>
        <v>NO</v>
      </c>
    </row>
    <row r="559" spans="1:5" x14ac:dyDescent="0.3">
      <c r="A559" t="str">
        <f>MID(Tabla1[[#This Row],[ENLACE]],FIND("~",SUBSTITUTE(Tabla1[[#This Row],[ENLACE]],"/","~",2))+1,LEN(Tabla1[[#This Row],[ENLACE]]))</f>
        <v>bk-hacken</v>
      </c>
      <c r="B559" s="2" t="s">
        <v>443</v>
      </c>
      <c r="C559" t="str">
        <f>_xlfn.TEXTBEFORE(_xlfn.TEXTAFTER(Tabla1[[#This Row],[ENLACE]],"/",1),"/")</f>
        <v>sweden</v>
      </c>
      <c r="D559" t="str">
        <f>Tabla1[[#This Row],[PAIS]]</f>
        <v>sweden</v>
      </c>
      <c r="E559" s="8" t="str">
        <f ca="1">IF(VLOOKUP(Tabla1[[#This Row],[PAIS]],$H$2:$I$34,2)="x","SI","NO")</f>
        <v>NO</v>
      </c>
    </row>
    <row r="560" spans="1:5" x14ac:dyDescent="0.3">
      <c r="A560" t="str">
        <f>MID(Tabla1[[#This Row],[ENLACE]],FIND("~",SUBSTITUTE(Tabla1[[#This Row],[ENLACE]],"/","~",2))+1,LEN(Tabla1[[#This Row],[ENLACE]]))</f>
        <v>halmstads-bk</v>
      </c>
      <c r="B560" s="5" t="s">
        <v>444</v>
      </c>
      <c r="C560" t="str">
        <f>_xlfn.TEXTBEFORE(_xlfn.TEXTAFTER(Tabla1[[#This Row],[ENLACE]],"/",1),"/")</f>
        <v>sweden</v>
      </c>
      <c r="D560" t="str">
        <f>Tabla1[[#This Row],[PAIS]]</f>
        <v>sweden</v>
      </c>
      <c r="E560" s="8" t="str">
        <f ca="1">IF(VLOOKUP(Tabla1[[#This Row],[PAIS]],$H$2:$I$34,2)="x","SI","NO")</f>
        <v>NO</v>
      </c>
    </row>
    <row r="561" spans="1:5" x14ac:dyDescent="0.3">
      <c r="A561" t="str">
        <f>MID(Tabla1[[#This Row],[ENLACE]],FIND("~",SUBSTITUTE(Tabla1[[#This Row],[ENLACE]],"/","~",2))+1,LEN(Tabla1[[#This Row],[ENLACE]]))</f>
        <v>hammarby-if</v>
      </c>
      <c r="B561" s="2" t="s">
        <v>445</v>
      </c>
      <c r="C561" t="str">
        <f>_xlfn.TEXTBEFORE(_xlfn.TEXTAFTER(Tabla1[[#This Row],[ENLACE]],"/",1),"/")</f>
        <v>sweden</v>
      </c>
      <c r="D561" t="str">
        <f>Tabla1[[#This Row],[PAIS]]</f>
        <v>sweden</v>
      </c>
      <c r="E561" s="8" t="str">
        <f ca="1">IF(VLOOKUP(Tabla1[[#This Row],[PAIS]],$H$2:$I$34,2)="x","SI","NO")</f>
        <v>NO</v>
      </c>
    </row>
    <row r="562" spans="1:5" x14ac:dyDescent="0.3">
      <c r="A562" t="str">
        <f>MID(Tabla1[[#This Row],[ENLACE]],FIND("~",SUBSTITUTE(Tabla1[[#This Row],[ENLACE]],"/","~",2))+1,LEN(Tabla1[[#This Row],[ENLACE]]))</f>
        <v>kalmar-ff</v>
      </c>
      <c r="B562" s="5" t="s">
        <v>575</v>
      </c>
      <c r="C562" t="str">
        <f>_xlfn.TEXTBEFORE(_xlfn.TEXTAFTER(Tabla1[[#This Row],[ENLACE]],"/",1),"/")</f>
        <v>sweden</v>
      </c>
      <c r="D562" t="str">
        <f>Tabla1[[#This Row],[PAIS]]</f>
        <v>sweden</v>
      </c>
      <c r="E562" s="8" t="str">
        <f ca="1">IF(VLOOKUP(Tabla1[[#This Row],[PAIS]],$H$2:$I$34,2)="x","SI","NO")</f>
        <v>NO</v>
      </c>
    </row>
    <row r="563" spans="1:5" x14ac:dyDescent="0.3">
      <c r="A563" t="str">
        <f>MID(Tabla1[[#This Row],[ENLACE]],FIND("~",SUBSTITUTE(Tabla1[[#This Row],[ENLACE]],"/","~",2))+1,LEN(Tabla1[[#This Row],[ENLACE]]))</f>
        <v>malmo-ff</v>
      </c>
      <c r="B563" s="2" t="s">
        <v>446</v>
      </c>
      <c r="C563" t="str">
        <f>_xlfn.TEXTBEFORE(_xlfn.TEXTAFTER(Tabla1[[#This Row],[ENLACE]],"/",1),"/")</f>
        <v>sweden</v>
      </c>
      <c r="D563" t="str">
        <f>Tabla1[[#This Row],[PAIS]]</f>
        <v>sweden</v>
      </c>
      <c r="E563" s="8" t="str">
        <f ca="1">IF(VLOOKUP(Tabla1[[#This Row],[PAIS]],$H$2:$I$34,2)="x","SI","NO")</f>
        <v>NO</v>
      </c>
    </row>
    <row r="564" spans="1:5" x14ac:dyDescent="0.3">
      <c r="A564" t="str">
        <f>MID(Tabla1[[#This Row],[ENLACE]],FIND("~",SUBSTITUTE(Tabla1[[#This Row],[ENLACE]],"/","~",2))+1,LEN(Tabla1[[#This Row],[ENLACE]]))</f>
        <v>mjallby-aif</v>
      </c>
      <c r="B564" s="5" t="s">
        <v>447</v>
      </c>
      <c r="C564" t="str">
        <f>_xlfn.TEXTBEFORE(_xlfn.TEXTAFTER(Tabla1[[#This Row],[ENLACE]],"/",1),"/")</f>
        <v>sweden</v>
      </c>
      <c r="D564" t="str">
        <f>Tabla1[[#This Row],[PAIS]]</f>
        <v>sweden</v>
      </c>
      <c r="E564" s="8" t="str">
        <f ca="1">IF(VLOOKUP(Tabla1[[#This Row],[PAIS]],$H$2:$I$34,2)="x","SI","NO")</f>
        <v>NO</v>
      </c>
    </row>
    <row r="565" spans="1:5" x14ac:dyDescent="0.3">
      <c r="A565" t="str">
        <f>MID(Tabla1[[#This Row],[ENLACE]],FIND("~",SUBSTITUTE(Tabla1[[#This Row],[ENLACE]],"/","~",2))+1,LEN(Tabla1[[#This Row],[ENLACE]]))</f>
        <v>orgryte-is</v>
      </c>
      <c r="B565" s="2" t="s">
        <v>576</v>
      </c>
      <c r="C565" t="str">
        <f>_xlfn.TEXTBEFORE(_xlfn.TEXTAFTER(Tabla1[[#This Row],[ENLACE]],"/",1),"/")</f>
        <v>sweden</v>
      </c>
      <c r="D565" t="str">
        <f>Tabla1[[#This Row],[PAIS]]</f>
        <v>sweden</v>
      </c>
      <c r="E565" s="8" t="str">
        <f ca="1">IF(VLOOKUP(Tabla1[[#This Row],[PAIS]],$H$2:$I$34,2)="x","SI","NO")</f>
        <v>NO</v>
      </c>
    </row>
    <row r="566" spans="1:5" x14ac:dyDescent="0.3">
      <c r="A566" t="str">
        <f>MID(Tabla1[[#This Row],[ENLACE]],FIND("~",SUBSTITUTE(Tabla1[[#This Row],[ENLACE]],"/","~",2))+1,LEN(Tabla1[[#This Row],[ENLACE]]))</f>
        <v>ik-sirius</v>
      </c>
      <c r="B566" s="5" t="s">
        <v>448</v>
      </c>
      <c r="C566" t="str">
        <f>_xlfn.TEXTBEFORE(_xlfn.TEXTAFTER(Tabla1[[#This Row],[ENLACE]],"/",1),"/")</f>
        <v>sweden</v>
      </c>
      <c r="D566" t="str">
        <f>Tabla1[[#This Row],[PAIS]]</f>
        <v>sweden</v>
      </c>
      <c r="E566" s="8" t="str">
        <f ca="1">IF(VLOOKUP(Tabla1[[#This Row],[PAIS]],$H$2:$I$34,2)="x","SI","NO")</f>
        <v>NO</v>
      </c>
    </row>
    <row r="567" spans="1:5" x14ac:dyDescent="0.3">
      <c r="A567" t="str">
        <f>MID(Tabla1[[#This Row],[ENLACE]],FIND("~",SUBSTITUTE(Tabla1[[#This Row],[ENLACE]],"/","~",2))+1,LEN(Tabla1[[#This Row],[ENLACE]]))</f>
        <v>vasteras-sk</v>
      </c>
      <c r="B567" s="2" t="s">
        <v>577</v>
      </c>
      <c r="C567" t="str">
        <f>_xlfn.TEXTBEFORE(_xlfn.TEXTAFTER(Tabla1[[#This Row],[ENLACE]],"/",1),"/")</f>
        <v>sweden</v>
      </c>
      <c r="D567" t="str">
        <f>Tabla1[[#This Row],[PAIS]]</f>
        <v>sweden</v>
      </c>
      <c r="E567" s="8" t="str">
        <f ca="1">IF(VLOOKUP(Tabla1[[#This Row],[PAIS]],$H$2:$I$34,2)="x","SI","NO")</f>
        <v>NO</v>
      </c>
    </row>
    <row r="568" spans="1:5" x14ac:dyDescent="0.3">
      <c r="A568" t="str">
        <f>MID(Tabla1[[#This Row],[ENLACE]],FIND("~",SUBSTITUTE(Tabla1[[#This Row],[ENLACE]],"/","~",2))+1,LEN(Tabla1[[#This Row],[ENLACE]]))</f>
        <v>fc-basel</v>
      </c>
      <c r="B568" s="5" t="s">
        <v>449</v>
      </c>
      <c r="C568" t="str">
        <f>_xlfn.TEXTBEFORE(_xlfn.TEXTAFTER(Tabla1[[#This Row],[ENLACE]],"/",1),"/")</f>
        <v>switzerland</v>
      </c>
      <c r="D568" t="str">
        <f>Tabla1[[#This Row],[PAIS]]</f>
        <v>switzerland</v>
      </c>
      <c r="E568" s="8" t="str">
        <f ca="1">IF(VLOOKUP(Tabla1[[#This Row],[PAIS]],$H$2:$I$34,2)="x","SI","NO")</f>
        <v>NO</v>
      </c>
    </row>
    <row r="569" spans="1:5" x14ac:dyDescent="0.3">
      <c r="A569" t="str">
        <f>MID(Tabla1[[#This Row],[ENLACE]],FIND("~",SUBSTITUTE(Tabla1[[#This Row],[ENLACE]],"/","~",2))+1,LEN(Tabla1[[#This Row],[ENLACE]]))</f>
        <v>grasshopper-club-zurich</v>
      </c>
      <c r="B569" s="2" t="s">
        <v>450</v>
      </c>
      <c r="C569" t="str">
        <f>_xlfn.TEXTBEFORE(_xlfn.TEXTAFTER(Tabla1[[#This Row],[ENLACE]],"/",1),"/")</f>
        <v>switzerland</v>
      </c>
      <c r="D569" t="str">
        <f>Tabla1[[#This Row],[PAIS]]</f>
        <v>switzerland</v>
      </c>
      <c r="E569" s="8" t="str">
        <f ca="1">IF(VLOOKUP(Tabla1[[#This Row],[PAIS]],$H$2:$I$34,2)="x","SI","NO")</f>
        <v>NO</v>
      </c>
    </row>
    <row r="570" spans="1:5" x14ac:dyDescent="0.3">
      <c r="A570" t="str">
        <f>MID(Tabla1[[#This Row],[ENLACE]],FIND("~",SUBSTITUTE(Tabla1[[#This Row],[ENLACE]],"/","~",2))+1,LEN(Tabla1[[#This Row],[ENLACE]]))</f>
        <v>fc-lausanne-sport</v>
      </c>
      <c r="B570" s="5" t="s">
        <v>451</v>
      </c>
      <c r="C570" t="str">
        <f>_xlfn.TEXTBEFORE(_xlfn.TEXTAFTER(Tabla1[[#This Row],[ENLACE]],"/",1),"/")</f>
        <v>switzerland</v>
      </c>
      <c r="D570" t="str">
        <f>Tabla1[[#This Row],[PAIS]]</f>
        <v>switzerland</v>
      </c>
      <c r="E570" s="8" t="str">
        <f ca="1">IF(VLOOKUP(Tabla1[[#This Row],[PAIS]],$H$2:$I$34,2)="x","SI","NO")</f>
        <v>NO</v>
      </c>
    </row>
    <row r="571" spans="1:5" x14ac:dyDescent="0.3">
      <c r="A571" t="str">
        <f>MID(Tabla1[[#This Row],[ENLACE]],FIND("~",SUBSTITUTE(Tabla1[[#This Row],[ENLACE]],"/","~",2))+1,LEN(Tabla1[[#This Row],[ENLACE]]))</f>
        <v>fc-lugano</v>
      </c>
      <c r="B571" s="2" t="s">
        <v>452</v>
      </c>
      <c r="C571" t="str">
        <f>_xlfn.TEXTBEFORE(_xlfn.TEXTAFTER(Tabla1[[#This Row],[ENLACE]],"/",1),"/")</f>
        <v>switzerland</v>
      </c>
      <c r="D571" t="str">
        <f>Tabla1[[#This Row],[PAIS]]</f>
        <v>switzerland</v>
      </c>
      <c r="E571" s="8" t="str">
        <f ca="1">IF(VLOOKUP(Tabla1[[#This Row],[PAIS]],$H$2:$I$34,2)="x","SI","NO")</f>
        <v>NO</v>
      </c>
    </row>
    <row r="572" spans="1:5" x14ac:dyDescent="0.3">
      <c r="A572" t="str">
        <f>MID(Tabla1[[#This Row],[ENLACE]],FIND("~",SUBSTITUTE(Tabla1[[#This Row],[ENLACE]],"/","~",2))+1,LEN(Tabla1[[#This Row],[ENLACE]]))</f>
        <v>fc-luzern</v>
      </c>
      <c r="B572" s="5" t="s">
        <v>453</v>
      </c>
      <c r="C572" t="str">
        <f>_xlfn.TEXTBEFORE(_xlfn.TEXTAFTER(Tabla1[[#This Row],[ENLACE]],"/",1),"/")</f>
        <v>switzerland</v>
      </c>
      <c r="D572" t="str">
        <f>Tabla1[[#This Row],[PAIS]]</f>
        <v>switzerland</v>
      </c>
      <c r="E572" s="8" t="str">
        <f ca="1">IF(VLOOKUP(Tabla1[[#This Row],[PAIS]],$H$2:$I$34,2)="x","SI","NO")</f>
        <v>NO</v>
      </c>
    </row>
    <row r="573" spans="1:5" x14ac:dyDescent="0.3">
      <c r="A573" t="str">
        <f>MID(Tabla1[[#This Row],[ENLACE]],FIND("~",SUBSTITUTE(Tabla1[[#This Row],[ENLACE]],"/","~",2))+1,LEN(Tabla1[[#This Row],[ENLACE]]))</f>
        <v>servette-fc</v>
      </c>
      <c r="B573" s="6" t="s">
        <v>454</v>
      </c>
      <c r="C573" t="str">
        <f>_xlfn.TEXTBEFORE(_xlfn.TEXTAFTER(Tabla1[[#This Row],[ENLACE]],"/",1),"/")</f>
        <v>switzerland</v>
      </c>
      <c r="D573" t="str">
        <f>Tabla1[[#This Row],[PAIS]]</f>
        <v>switzerland</v>
      </c>
      <c r="E573" s="8" t="str">
        <f ca="1">IF(VLOOKUP(Tabla1[[#This Row],[PAIS]],$H$2:$I$34,2)="x","SI","NO")</f>
        <v>NO</v>
      </c>
    </row>
    <row r="574" spans="1:5" x14ac:dyDescent="0.3">
      <c r="A574" t="str">
        <f>MID(Tabla1[[#This Row],[ENLACE]],FIND("~",SUBSTITUTE(Tabla1[[#This Row],[ENLACE]],"/","~",2))+1,LEN(Tabla1[[#This Row],[ENLACE]]))</f>
        <v>fc-sion</v>
      </c>
      <c r="B574" t="s">
        <v>455</v>
      </c>
      <c r="C574" t="str">
        <f>_xlfn.TEXTBEFORE(_xlfn.TEXTAFTER(Tabla1[[#This Row],[ENLACE]],"/",1),"/")</f>
        <v>switzerland</v>
      </c>
      <c r="D574" t="str">
        <f>Tabla1[[#This Row],[PAIS]]</f>
        <v>switzerland</v>
      </c>
      <c r="E574" s="8" t="str">
        <f ca="1">IF(VLOOKUP(Tabla1[[#This Row],[PAIS]],$H$2:$I$34,2)="x","SI","NO")</f>
        <v>NO</v>
      </c>
    </row>
    <row r="575" spans="1:5" x14ac:dyDescent="0.3">
      <c r="A575" t="str">
        <f>MID(Tabla1[[#This Row],[ENLACE]],FIND("~",SUBSTITUTE(Tabla1[[#This Row],[ENLACE]],"/","~",2))+1,LEN(Tabla1[[#This Row],[ENLACE]]))</f>
        <v>fc-st-gallen</v>
      </c>
      <c r="B575" s="7" t="s">
        <v>456</v>
      </c>
      <c r="C575" t="str">
        <f>_xlfn.TEXTBEFORE(_xlfn.TEXTAFTER(Tabla1[[#This Row],[ENLACE]],"/",1),"/")</f>
        <v>switzerland</v>
      </c>
      <c r="D575" t="str">
        <f>Tabla1[[#This Row],[PAIS]]</f>
        <v>switzerland</v>
      </c>
      <c r="E575" s="8" t="str">
        <f ca="1">IF(VLOOKUP(Tabla1[[#This Row],[PAIS]],$H$2:$I$34,2)="x","SI","NO")</f>
        <v>NO</v>
      </c>
    </row>
    <row r="576" spans="1:5" x14ac:dyDescent="0.3">
      <c r="A576" t="str">
        <f>MID(Tabla1[[#This Row],[ENLACE]],FIND("~",SUBSTITUTE(Tabla1[[#This Row],[ENLACE]],"/","~",2))+1,LEN(Tabla1[[#This Row],[ENLACE]]))</f>
        <v>fc-thun</v>
      </c>
      <c r="B576" t="s">
        <v>457</v>
      </c>
      <c r="C576" t="str">
        <f>_xlfn.TEXTBEFORE(_xlfn.TEXTAFTER(Tabla1[[#This Row],[ENLACE]],"/",1),"/")</f>
        <v>switzerland</v>
      </c>
      <c r="D576" t="str">
        <f>Tabla1[[#This Row],[PAIS]]</f>
        <v>switzerland</v>
      </c>
      <c r="E576" s="8" t="str">
        <f ca="1">IF(VLOOKUP(Tabla1[[#This Row],[PAIS]],$H$2:$I$34,2)="x","SI","NO")</f>
        <v>NO</v>
      </c>
    </row>
    <row r="577" spans="1:5" x14ac:dyDescent="0.3">
      <c r="A577" t="str">
        <f>MID(Tabla1[[#This Row],[ENLACE]],FIND("~",SUBSTITUTE(Tabla1[[#This Row],[ENLACE]],"/","~",2))+1,LEN(Tabla1[[#This Row],[ENLACE]]))</f>
        <v>fc-vaduz</v>
      </c>
      <c r="B577" s="7" t="s">
        <v>628</v>
      </c>
      <c r="C577" t="str">
        <f>_xlfn.TEXTBEFORE(_xlfn.TEXTAFTER(Tabla1[[#This Row],[ENLACE]],"/",1),"/")</f>
        <v>switzerland</v>
      </c>
      <c r="D577" t="str">
        <f>Tabla1[[#This Row],[PAIS]]</f>
        <v>switzerland</v>
      </c>
      <c r="E577" s="8" t="str">
        <f ca="1">IF(VLOOKUP(Tabla1[[#This Row],[PAIS]],$H$2:$I$34,2)="x","SI","NO")</f>
        <v>NO</v>
      </c>
    </row>
    <row r="578" spans="1:5" x14ac:dyDescent="0.3">
      <c r="A578" t="str">
        <f>MID(Tabla1[[#This Row],[ENLACE]],FIND("~",SUBSTITUTE(Tabla1[[#This Row],[ENLACE]],"/","~",2))+1,LEN(Tabla1[[#This Row],[ENLACE]]))</f>
        <v>bsc-young-boys</v>
      </c>
      <c r="B578" t="s">
        <v>458</v>
      </c>
      <c r="C578" t="str">
        <f>_xlfn.TEXTBEFORE(_xlfn.TEXTAFTER(Tabla1[[#This Row],[ENLACE]],"/",1),"/")</f>
        <v>switzerland</v>
      </c>
      <c r="D578" t="str">
        <f>Tabla1[[#This Row],[PAIS]]</f>
        <v>switzerland</v>
      </c>
      <c r="E578" s="8" t="str">
        <f ca="1">IF(VLOOKUP(Tabla1[[#This Row],[PAIS]],$H$2:$I$34,2)="x","SI","NO")</f>
        <v>NO</v>
      </c>
    </row>
    <row r="579" spans="1:5" x14ac:dyDescent="0.3">
      <c r="A579" t="str">
        <f>MID(Tabla1[[#This Row],[ENLACE]],FIND("~",SUBSTITUTE(Tabla1[[#This Row],[ENLACE]],"/","~",2))+1,LEN(Tabla1[[#This Row],[ENLACE]]))</f>
        <v>fc-zurich</v>
      </c>
      <c r="B579" s="7" t="s">
        <v>459</v>
      </c>
      <c r="C579" t="str">
        <f>_xlfn.TEXTBEFORE(_xlfn.TEXTAFTER(Tabla1[[#This Row],[ENLACE]],"/",1),"/")</f>
        <v>switzerland</v>
      </c>
      <c r="D579" t="str">
        <f>Tabla1[[#This Row],[PAIS]]</f>
        <v>switzerland</v>
      </c>
      <c r="E579" s="8" t="str">
        <f ca="1">IF(VLOOKUP(Tabla1[[#This Row],[PAIS]],$H$2:$I$34,2)="x","SI","NO")</f>
        <v>NO</v>
      </c>
    </row>
    <row r="580" spans="1:5" x14ac:dyDescent="0.3">
      <c r="A580" t="str">
        <f>MID(Tabla1[[#This Row],[ENLACE]],FIND("~",SUBSTITUTE(Tabla1[[#This Row],[ENLACE]],"/","~",2))+1,LEN(Tabla1[[#This Row],[ENLACE]]))</f>
        <v>atlanta-united-fc</v>
      </c>
      <c r="B580" t="s">
        <v>460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austin-fc</v>
      </c>
      <c r="B581" s="7" t="s">
        <v>461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club-de-foot-montreal</v>
      </c>
      <c r="B582" t="s">
        <v>462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charlotte-fc</v>
      </c>
      <c r="B583" s="7" t="s">
        <v>463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chicago-fire-fc</v>
      </c>
      <c r="B584" t="s">
        <v>464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fc-cincinnati</v>
      </c>
      <c r="B585" s="7" t="s">
        <v>465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colorado-rapids</v>
      </c>
      <c r="B586" t="s">
        <v>466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columbus-crew-sc</v>
      </c>
      <c r="B587" s="7" t="s">
        <v>467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dc-united</v>
      </c>
      <c r="B588" t="s">
        <v>468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fc-dallas</v>
      </c>
      <c r="B589" s="7" t="s">
        <v>469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houston-dynamo</v>
      </c>
      <c r="B590" t="s">
        <v>470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inter-miami-cf</v>
      </c>
      <c r="B591" s="7" t="s">
        <v>471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los-angeles-fc</v>
      </c>
      <c r="B592" t="s">
        <v>472</v>
      </c>
      <c r="C592" t="str">
        <f>_xlfn.TEXTBEFORE(_xlfn.TEXTAFTER(Tabla1[[#This Row],[ENLACE]],"/",1),"/")</f>
        <v>usa</v>
      </c>
      <c r="D592" t="str">
        <f>Tabla1[[#This Row],[PAIS]]</f>
        <v>usa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los-angeles-galaxy</v>
      </c>
      <c r="B593" s="7" t="s">
        <v>473</v>
      </c>
      <c r="C593" t="str">
        <f>_xlfn.TEXTBEFORE(_xlfn.TEXTAFTER(Tabla1[[#This Row],[ENLACE]],"/",1),"/")</f>
        <v>usa</v>
      </c>
      <c r="D593" t="str">
        <f>Tabla1[[#This Row],[PAIS]]</f>
        <v>usa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minnesota-united-fc</v>
      </c>
      <c r="B594" t="s">
        <v>474</v>
      </c>
      <c r="C594" t="str">
        <f>_xlfn.TEXTBEFORE(_xlfn.TEXTAFTER(Tabla1[[#This Row],[ENLACE]],"/",1),"/")</f>
        <v>usa</v>
      </c>
      <c r="D594" t="str">
        <f>Tabla1[[#This Row],[PAIS]]</f>
        <v>usa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nashville-sc</v>
      </c>
      <c r="B595" s="7" t="s">
        <v>475</v>
      </c>
      <c r="C595" t="str">
        <f>_xlfn.TEXTBEFORE(_xlfn.TEXTAFTER(Tabla1[[#This Row],[ENLACE]],"/",1),"/")</f>
        <v>usa</v>
      </c>
      <c r="D595" t="str">
        <f>Tabla1[[#This Row],[PAIS]]</f>
        <v>usa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new-england-revolution</v>
      </c>
      <c r="B596" t="s">
        <v>476</v>
      </c>
      <c r="C596" t="str">
        <f>_xlfn.TEXTBEFORE(_xlfn.TEXTAFTER(Tabla1[[#This Row],[ENLACE]],"/",1),"/")</f>
        <v>usa</v>
      </c>
      <c r="D596" t="str">
        <f>Tabla1[[#This Row],[PAIS]]</f>
        <v>usa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new-york-city-fc</v>
      </c>
      <c r="B597" s="7" t="s">
        <v>477</v>
      </c>
      <c r="C597" t="str">
        <f>_xlfn.TEXTBEFORE(_xlfn.TEXTAFTER(Tabla1[[#This Row],[ENLACE]],"/",1),"/")</f>
        <v>usa</v>
      </c>
      <c r="D597" t="str">
        <f>Tabla1[[#This Row],[PAIS]]</f>
        <v>usa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new-york-red-bulls</v>
      </c>
      <c r="B598" t="s">
        <v>478</v>
      </c>
      <c r="C598" t="str">
        <f>_xlfn.TEXTBEFORE(_xlfn.TEXTAFTER(Tabla1[[#This Row],[ENLACE]],"/",1),"/")</f>
        <v>usa</v>
      </c>
      <c r="D598" t="str">
        <f>Tabla1[[#This Row],[PAIS]]</f>
        <v>usa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orlando-city-sc</v>
      </c>
      <c r="B599" s="7" t="s">
        <v>479</v>
      </c>
      <c r="C599" t="str">
        <f>_xlfn.TEXTBEFORE(_xlfn.TEXTAFTER(Tabla1[[#This Row],[ENLACE]],"/",1),"/")</f>
        <v>usa</v>
      </c>
      <c r="D599" t="str">
        <f>Tabla1[[#This Row],[PAIS]]</f>
        <v>usa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philadelphia-union</v>
      </c>
      <c r="B600" t="s">
        <v>480</v>
      </c>
      <c r="C600" t="str">
        <f>_xlfn.TEXTBEFORE(_xlfn.TEXTAFTER(Tabla1[[#This Row],[ENLACE]],"/",1),"/")</f>
        <v>usa</v>
      </c>
      <c r="D600" t="str">
        <f>Tabla1[[#This Row],[PAIS]]</f>
        <v>usa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portland-timbers</v>
      </c>
      <c r="B601" s="7" t="s">
        <v>481</v>
      </c>
      <c r="C601" t="str">
        <f>_xlfn.TEXTBEFORE(_xlfn.TEXTAFTER(Tabla1[[#This Row],[ENLACE]],"/",1),"/")</f>
        <v>usa</v>
      </c>
      <c r="D601" t="str">
        <f>Tabla1[[#This Row],[PAIS]]</f>
        <v>usa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real-salt-lake</v>
      </c>
      <c r="B602" t="s">
        <v>482</v>
      </c>
      <c r="C602" t="str">
        <f>_xlfn.TEXTBEFORE(_xlfn.TEXTAFTER(Tabla1[[#This Row],[ENLACE]],"/",1),"/")</f>
        <v>usa</v>
      </c>
      <c r="D602" t="str">
        <f>Tabla1[[#This Row],[PAIS]]</f>
        <v>usa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san-diego-fc</v>
      </c>
      <c r="B603" s="7" t="s">
        <v>483</v>
      </c>
      <c r="C603" t="str">
        <f>_xlfn.TEXTBEFORE(_xlfn.TEXTAFTER(Tabla1[[#This Row],[ENLACE]],"/",1),"/")</f>
        <v>usa</v>
      </c>
      <c r="D603" t="str">
        <f>Tabla1[[#This Row],[PAIS]]</f>
        <v>usa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san-jose-earthquakes</v>
      </c>
      <c r="B604" t="s">
        <v>484</v>
      </c>
      <c r="C604" t="str">
        <f>_xlfn.TEXTBEFORE(_xlfn.TEXTAFTER(Tabla1[[#This Row],[ENLACE]],"/",1),"/")</f>
        <v>usa</v>
      </c>
      <c r="D604" t="str">
        <f>Tabla1[[#This Row],[PAIS]]</f>
        <v>usa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seattle-sounders-fc</v>
      </c>
      <c r="B605" s="7" t="s">
        <v>485</v>
      </c>
      <c r="C605" t="str">
        <f>_xlfn.TEXTBEFORE(_xlfn.TEXTAFTER(Tabla1[[#This Row],[ENLACE]],"/",1),"/")</f>
        <v>usa</v>
      </c>
      <c r="D605" t="str">
        <f>Tabla1[[#This Row],[PAIS]]</f>
        <v>usa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sporting-kansas-city</v>
      </c>
      <c r="B606" t="s">
        <v>486</v>
      </c>
      <c r="C606" t="str">
        <f>_xlfn.TEXTBEFORE(_xlfn.TEXTAFTER(Tabla1[[#This Row],[ENLACE]],"/",1),"/")</f>
        <v>usa</v>
      </c>
      <c r="D606" t="str">
        <f>Tabla1[[#This Row],[PAIS]]</f>
        <v>usa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st-louis-city-sc</v>
      </c>
      <c r="B607" s="7" t="s">
        <v>487</v>
      </c>
      <c r="C607" t="str">
        <f>_xlfn.TEXTBEFORE(_xlfn.TEXTAFTER(Tabla1[[#This Row],[ENLACE]],"/",1),"/")</f>
        <v>usa</v>
      </c>
      <c r="D607" t="str">
        <f>Tabla1[[#This Row],[PAIS]]</f>
        <v>usa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toronto-fc</v>
      </c>
      <c r="B608" t="s">
        <v>488</v>
      </c>
      <c r="C608" t="str">
        <f>_xlfn.TEXTBEFORE(_xlfn.TEXTAFTER(Tabla1[[#This Row],[ENLACE]],"/",1),"/")</f>
        <v>usa</v>
      </c>
      <c r="D608" t="str">
        <f>Tabla1[[#This Row],[PAIS]]</f>
        <v>usa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vancouver-whitecaps-fc</v>
      </c>
      <c r="B609" s="7" t="s">
        <v>489</v>
      </c>
      <c r="C609" t="str">
        <f>_xlfn.TEXTBEFORE(_xlfn.TEXTAFTER(Tabla1[[#This Row],[ENLACE]],"/",1),"/")</f>
        <v>usa</v>
      </c>
      <c r="D609" t="str">
        <f>Tabla1[[#This Row],[PAIS]]</f>
        <v>usa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bohemians-fc</v>
      </c>
      <c r="B610" t="s">
        <v>578</v>
      </c>
      <c r="C610" t="str">
        <f>_xlfn.TEXTBEFORE(_xlfn.TEXTAFTER(Tabla1[[#This Row],[ENLACE]],"/",1),"/")</f>
        <v>ireland</v>
      </c>
      <c r="D610" t="str">
        <f>Tabla1[[#This Row],[PAIS]]</f>
        <v>ireland</v>
      </c>
      <c r="E610" s="8" t="str">
        <f ca="1">IF(VLOOKUP(Tabla1[[#This Row],[PAIS]],$H$2:$I$34,2)="x","SI","NO")</f>
        <v>NO</v>
      </c>
    </row>
    <row r="611" spans="1:5" x14ac:dyDescent="0.3">
      <c r="A611" t="str">
        <f>MID(Tabla1[[#This Row],[ENLACE]],FIND("~",SUBSTITUTE(Tabla1[[#This Row],[ENLACE]],"/","~",2))+1,LEN(Tabla1[[#This Row],[ENLACE]]))</f>
        <v>derry-city-fc</v>
      </c>
      <c r="B611" t="s">
        <v>579</v>
      </c>
      <c r="C611" t="str">
        <f>_xlfn.TEXTBEFORE(_xlfn.TEXTAFTER(Tabla1[[#This Row],[ENLACE]],"/",1),"/")</f>
        <v>ireland</v>
      </c>
      <c r="D611" t="str">
        <f>Tabla1[[#This Row],[PAIS]]</f>
        <v>ireland</v>
      </c>
      <c r="E611" s="8" t="str">
        <f ca="1">IF(VLOOKUP(Tabla1[[#This Row],[PAIS]],$H$2:$I$34,2)="x","SI","NO")</f>
        <v>NO</v>
      </c>
    </row>
    <row r="612" spans="1:5" x14ac:dyDescent="0.3">
      <c r="A612" t="str">
        <f>MID(Tabla1[[#This Row],[ENLACE]],FIND("~",SUBSTITUTE(Tabla1[[#This Row],[ENLACE]],"/","~",2))+1,LEN(Tabla1[[#This Row],[ENLACE]]))</f>
        <v>drogheda-united-fc</v>
      </c>
      <c r="B612" t="s">
        <v>580</v>
      </c>
      <c r="C612" t="str">
        <f>_xlfn.TEXTBEFORE(_xlfn.TEXTAFTER(Tabla1[[#This Row],[ENLACE]],"/",1),"/")</f>
        <v>ireland</v>
      </c>
      <c r="D612" t="str">
        <f>Tabla1[[#This Row],[PAIS]]</f>
        <v>ireland</v>
      </c>
      <c r="E612" s="8" t="str">
        <f ca="1">IF(VLOOKUP(Tabla1[[#This Row],[PAIS]],$H$2:$I$34,2)="x","SI","NO")</f>
        <v>NO</v>
      </c>
    </row>
    <row r="613" spans="1:5" x14ac:dyDescent="0.3">
      <c r="A613" t="str">
        <f>MID(Tabla1[[#This Row],[ENLACE]],FIND("~",SUBSTITUTE(Tabla1[[#This Row],[ENLACE]],"/","~",2))+1,LEN(Tabla1[[#This Row],[ENLACE]]))</f>
        <v>dundalk-fc</v>
      </c>
      <c r="B613" t="s">
        <v>581</v>
      </c>
      <c r="C613" t="str">
        <f>_xlfn.TEXTBEFORE(_xlfn.TEXTAFTER(Tabla1[[#This Row],[ENLACE]],"/",1),"/")</f>
        <v>ireland</v>
      </c>
      <c r="D613" t="str">
        <f>Tabla1[[#This Row],[PAIS]]</f>
        <v>ireland</v>
      </c>
      <c r="E613" s="8" t="str">
        <f ca="1">IF(VLOOKUP(Tabla1[[#This Row],[PAIS]],$H$2:$I$34,2)="x","SI","NO")</f>
        <v>NO</v>
      </c>
    </row>
    <row r="614" spans="1:5" x14ac:dyDescent="0.3">
      <c r="A614" t="str">
        <f>MID(Tabla1[[#This Row],[ENLACE]],FIND("~",SUBSTITUTE(Tabla1[[#This Row],[ENLACE]],"/","~",2))+1,LEN(Tabla1[[#This Row],[ENLACE]]))</f>
        <v>galway-united-fc</v>
      </c>
      <c r="B614" t="s">
        <v>582</v>
      </c>
      <c r="C614" t="str">
        <f>_xlfn.TEXTBEFORE(_xlfn.TEXTAFTER(Tabla1[[#This Row],[ENLACE]],"/",1),"/")</f>
        <v>ireland</v>
      </c>
      <c r="D614" t="str">
        <f>Tabla1[[#This Row],[PAIS]]</f>
        <v>ireland</v>
      </c>
      <c r="E614" s="8" t="str">
        <f ca="1">IF(VLOOKUP(Tabla1[[#This Row],[PAIS]],$H$2:$I$34,2)="x","SI","NO")</f>
        <v>NO</v>
      </c>
    </row>
    <row r="615" spans="1:5" x14ac:dyDescent="0.3">
      <c r="A615" t="str">
        <f>MID(Tabla1[[#This Row],[ENLACE]],FIND("~",SUBSTITUTE(Tabla1[[#This Row],[ENLACE]],"/","~",2))+1,LEN(Tabla1[[#This Row],[ENLACE]]))</f>
        <v>shamrock-rovers-fc</v>
      </c>
      <c r="B615" t="s">
        <v>583</v>
      </c>
      <c r="C615" t="str">
        <f>_xlfn.TEXTBEFORE(_xlfn.TEXTAFTER(Tabla1[[#This Row],[ENLACE]],"/",1),"/")</f>
        <v>ireland</v>
      </c>
      <c r="D615" t="str">
        <f>Tabla1[[#This Row],[PAIS]]</f>
        <v>ireland</v>
      </c>
      <c r="E615" s="8" t="str">
        <f ca="1">IF(VLOOKUP(Tabla1[[#This Row],[PAIS]],$H$2:$I$34,2)="x","SI","NO")</f>
        <v>NO</v>
      </c>
    </row>
    <row r="616" spans="1:5" x14ac:dyDescent="0.3">
      <c r="A616" t="str">
        <f>MID(Tabla1[[#This Row],[ENLACE]],FIND("~",SUBSTITUTE(Tabla1[[#This Row],[ENLACE]],"/","~",2))+1,LEN(Tabla1[[#This Row],[ENLACE]]))</f>
        <v>shelbourne-fc</v>
      </c>
      <c r="B616" t="s">
        <v>584</v>
      </c>
      <c r="C616" t="str">
        <f>_xlfn.TEXTBEFORE(_xlfn.TEXTAFTER(Tabla1[[#This Row],[ENLACE]],"/",1),"/")</f>
        <v>ireland</v>
      </c>
      <c r="D616" t="str">
        <f>Tabla1[[#This Row],[PAIS]]</f>
        <v>ireland</v>
      </c>
      <c r="E616" s="8" t="str">
        <f ca="1">IF(VLOOKUP(Tabla1[[#This Row],[PAIS]],$H$2:$I$34,2)="x","SI","NO")</f>
        <v>NO</v>
      </c>
    </row>
    <row r="617" spans="1:5" x14ac:dyDescent="0.3">
      <c r="A617" t="str">
        <f>MID(Tabla1[[#This Row],[ENLACE]],FIND("~",SUBSTITUTE(Tabla1[[#This Row],[ENLACE]],"/","~",2))+1,LEN(Tabla1[[#This Row],[ENLACE]]))</f>
        <v>sligo-rovers-fc</v>
      </c>
      <c r="B617" t="s">
        <v>585</v>
      </c>
      <c r="C617" t="str">
        <f>_xlfn.TEXTBEFORE(_xlfn.TEXTAFTER(Tabla1[[#This Row],[ENLACE]],"/",1),"/")</f>
        <v>ireland</v>
      </c>
      <c r="D617" t="str">
        <f>Tabla1[[#This Row],[PAIS]]</f>
        <v>ireland</v>
      </c>
      <c r="E617" s="8" t="str">
        <f ca="1">IF(VLOOKUP(Tabla1[[#This Row],[PAIS]],$H$2:$I$34,2)="x","SI","NO")</f>
        <v>NO</v>
      </c>
    </row>
    <row r="618" spans="1:5" x14ac:dyDescent="0.3">
      <c r="A618" t="str">
        <f>MID(Tabla1[[#This Row],[ENLACE]],FIND("~",SUBSTITUTE(Tabla1[[#This Row],[ENLACE]],"/","~",2))+1,LEN(Tabla1[[#This Row],[ENLACE]]))</f>
        <v>st-patricks-athletic-fc</v>
      </c>
      <c r="B618" t="s">
        <v>586</v>
      </c>
      <c r="C618" t="str">
        <f>_xlfn.TEXTBEFORE(_xlfn.TEXTAFTER(Tabla1[[#This Row],[ENLACE]],"/",1),"/")</f>
        <v>ireland</v>
      </c>
      <c r="D618" t="str">
        <f>Tabla1[[#This Row],[PAIS]]</f>
        <v>ireland</v>
      </c>
      <c r="E618" s="8" t="str">
        <f ca="1">IF(VLOOKUP(Tabla1[[#This Row],[PAIS]],$H$2:$I$34,2)="x","SI","NO")</f>
        <v>NO</v>
      </c>
    </row>
    <row r="619" spans="1:5" x14ac:dyDescent="0.3">
      <c r="A619" t="str">
        <f>MID(Tabla1[[#This Row],[ENLACE]],FIND("~",SUBSTITUTE(Tabla1[[#This Row],[ENLACE]],"/","~",2))+1,LEN(Tabla1[[#This Row],[ENLACE]]))</f>
        <v>waterford-fc</v>
      </c>
      <c r="B619" t="s">
        <v>587</v>
      </c>
      <c r="C619" t="str">
        <f>_xlfn.TEXTBEFORE(_xlfn.TEXTAFTER(Tabla1[[#This Row],[ENLACE]],"/",1),"/")</f>
        <v>ireland</v>
      </c>
      <c r="D619" t="str">
        <f>Tabla1[[#This Row],[PAIS]]</f>
        <v>ireland</v>
      </c>
      <c r="E619" s="8" t="str">
        <f ca="1">IF(VLOOKUP(Tabla1[[#This Row],[PAIS]],$H$2:$I$34,2)="x","SI","NO")</f>
        <v>NO</v>
      </c>
    </row>
    <row r="620" spans="1:5" x14ac:dyDescent="0.3">
      <c r="A620" t="str">
        <f>MID(Tabla1[[#This Row],[ENLACE]],FIND("~",SUBSTITUTE(Tabla1[[#This Row],[ENLACE]],"/","~",2))+1,LEN(Tabla1[[#This Row],[ENLACE]]))</f>
        <v>al-ahly-sc</v>
      </c>
      <c r="B620" t="s">
        <v>588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al-ittihad-ac</v>
      </c>
      <c r="B621" t="s">
        <v>589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al-masry-sc</v>
      </c>
      <c r="B622" t="s">
        <v>590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arab-contractors-sc</v>
      </c>
      <c r="B623" t="s">
        <v>591</v>
      </c>
      <c r="C623" t="str">
        <f>_xlfn.TEXTBEFORE(_xlfn.TEXTAFTER(Tabla1[[#This Row],[ENLACE]],"/",1),"/")</f>
        <v>egypt</v>
      </c>
      <c r="D623" t="str">
        <f>Tabla1[[#This Row],[PAIS]]</f>
        <v>egypt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ceramica-cleopatra-fc</v>
      </c>
      <c r="B624" t="s">
        <v>592</v>
      </c>
      <c r="C624" t="str">
        <f>_xlfn.TEXTBEFORE(_xlfn.TEXTAFTER(Tabla1[[#This Row],[ENLACE]],"/",1),"/")</f>
        <v>egypt</v>
      </c>
      <c r="D624" t="str">
        <f>Tabla1[[#This Row],[PAIS]]</f>
        <v>egypt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talaea-el-gaish-sc</v>
      </c>
      <c r="B625" t="s">
        <v>593</v>
      </c>
      <c r="C625" t="str">
        <f>_xlfn.TEXTBEFORE(_xlfn.TEXTAFTER(Tabla1[[#This Row],[ENLACE]],"/",1),"/")</f>
        <v>egypt</v>
      </c>
      <c r="D625" t="str">
        <f>Tabla1[[#This Row],[PAIS]]</f>
        <v>egypt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el-gouna-fc</v>
      </c>
      <c r="B626" t="s">
        <v>594</v>
      </c>
      <c r="C626" t="str">
        <f>_xlfn.TEXTBEFORE(_xlfn.TEXTAFTER(Tabla1[[#This Row],[ENLACE]],"/",1),"/")</f>
        <v>egypt</v>
      </c>
      <c r="D626" t="str">
        <f>Tabla1[[#This Row],[PAIS]]</f>
        <v>egypt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enppi-sc</v>
      </c>
      <c r="B627" t="s">
        <v>595</v>
      </c>
      <c r="C627" t="str">
        <f>_xlfn.TEXTBEFORE(_xlfn.TEXTAFTER(Tabla1[[#This Row],[ENLACE]],"/",1),"/")</f>
        <v>egypt</v>
      </c>
      <c r="D627" t="str">
        <f>Tabla1[[#This Row],[PAIS]]</f>
        <v>egypt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ghazi-el-mahalla-sc</v>
      </c>
      <c r="B628" t="s">
        <v>596</v>
      </c>
      <c r="C628" t="str">
        <f>_xlfn.TEXTBEFORE(_xlfn.TEXTAFTER(Tabla1[[#This Row],[ENLACE]],"/",1),"/")</f>
        <v>egypt</v>
      </c>
      <c r="D628" t="str">
        <f>Tabla1[[#This Row],[PAIS]]</f>
        <v>egypt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haras-el-hodoud-sc</v>
      </c>
      <c r="B629" t="s">
        <v>597</v>
      </c>
      <c r="C629" t="str">
        <f>_xlfn.TEXTBEFORE(_xlfn.TEXTAFTER(Tabla1[[#This Row],[ENLACE]],"/",1),"/")</f>
        <v>egypt</v>
      </c>
      <c r="D629" t="str">
        <f>Tabla1[[#This Row],[PAIS]]</f>
        <v>egypt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ismaily-sc</v>
      </c>
      <c r="B630" t="s">
        <v>598</v>
      </c>
      <c r="C630" t="str">
        <f>_xlfn.TEXTBEFORE(_xlfn.TEXTAFTER(Tabla1[[#This Row],[ENLACE]],"/",1),"/")</f>
        <v>egypt</v>
      </c>
      <c r="D630" t="str">
        <f>Tabla1[[#This Row],[PAIS]]</f>
        <v>egypt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kahrabaa-ismailia-sc</v>
      </c>
      <c r="B631" t="s">
        <v>599</v>
      </c>
      <c r="C631" t="str">
        <f>_xlfn.TEXTBEFORE(_xlfn.TEXTAFTER(Tabla1[[#This Row],[ENLACE]],"/",1),"/")</f>
        <v>egypt</v>
      </c>
      <c r="D631" t="str">
        <f>Tabla1[[#This Row],[PAIS]]</f>
        <v>egypt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modern-sport-fc</v>
      </c>
      <c r="B632" t="s">
        <v>600</v>
      </c>
      <c r="C632" t="str">
        <f>_xlfn.TEXTBEFORE(_xlfn.TEXTAFTER(Tabla1[[#This Row],[ENLACE]],"/",1),"/")</f>
        <v>egypt</v>
      </c>
      <c r="D632" t="str">
        <f>Tabla1[[#This Row],[PAIS]]</f>
        <v>egypt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national-bank-of-egypt-sc</v>
      </c>
      <c r="B633" t="s">
        <v>601</v>
      </c>
      <c r="C633" t="str">
        <f>_xlfn.TEXTBEFORE(_xlfn.TEXTAFTER(Tabla1[[#This Row],[ENLACE]],"/",1),"/")</f>
        <v>egypt</v>
      </c>
      <c r="D633" t="str">
        <f>Tabla1[[#This Row],[PAIS]]</f>
        <v>egypt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petrojet-sc</v>
      </c>
      <c r="B634" t="s">
        <v>602</v>
      </c>
      <c r="C634" t="str">
        <f>_xlfn.TEXTBEFORE(_xlfn.TEXTAFTER(Tabla1[[#This Row],[ENLACE]],"/",1),"/")</f>
        <v>egypt</v>
      </c>
      <c r="D634" t="str">
        <f>Tabla1[[#This Row],[PAIS]]</f>
        <v>egypt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pharco-fc</v>
      </c>
      <c r="B635" t="s">
        <v>603</v>
      </c>
      <c r="C635" t="str">
        <f>_xlfn.TEXTBEFORE(_xlfn.TEXTAFTER(Tabla1[[#This Row],[ENLACE]],"/",1),"/")</f>
        <v>egypt</v>
      </c>
      <c r="D635" t="str">
        <f>Tabla1[[#This Row],[PAIS]]</f>
        <v>egypt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pyramids-fc</v>
      </c>
      <c r="B636" t="s">
        <v>604</v>
      </c>
      <c r="C636" t="str">
        <f>_xlfn.TEXTBEFORE(_xlfn.TEXTAFTER(Tabla1[[#This Row],[ENLACE]],"/",1),"/")</f>
        <v>egypt</v>
      </c>
      <c r="D636" t="str">
        <f>Tabla1[[#This Row],[PAIS]]</f>
        <v>egypt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smouha-sc</v>
      </c>
      <c r="B637" t="s">
        <v>605</v>
      </c>
      <c r="C637" t="str">
        <f>_xlfn.TEXTBEFORE(_xlfn.TEXTAFTER(Tabla1[[#This Row],[ENLACE]],"/",1),"/")</f>
        <v>egypt</v>
      </c>
      <c r="D637" t="str">
        <f>Tabla1[[#This Row],[PAIS]]</f>
        <v>egypt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wadi-degla-sc</v>
      </c>
      <c r="B638" t="s">
        <v>606</v>
      </c>
      <c r="C638" t="str">
        <f>_xlfn.TEXTBEFORE(_xlfn.TEXTAFTER(Tabla1[[#This Row],[ENLACE]],"/",1),"/")</f>
        <v>egypt</v>
      </c>
      <c r="D638" t="str">
        <f>Tabla1[[#This Row],[PAIS]]</f>
        <v>egypt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zamalek-sc</v>
      </c>
      <c r="B639" t="s">
        <v>607</v>
      </c>
      <c r="C639" t="str">
        <f>_xlfn.TEXTBEFORE(_xlfn.TEXTAFTER(Tabla1[[#This Row],[ENLACE]],"/",1),"/")</f>
        <v>egypt</v>
      </c>
      <c r="D639" t="str">
        <f>Tabla1[[#This Row],[PAIS]]</f>
        <v>egypt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zed-fc</v>
      </c>
      <c r="B640" t="s">
        <v>608</v>
      </c>
      <c r="C640" t="str">
        <f>_xlfn.TEXTBEFORE(_xlfn.TEXTAFTER(Tabla1[[#This Row],[ENLACE]],"/",1),"/")</f>
        <v>egypt</v>
      </c>
      <c r="D640" t="str">
        <f>Tabla1[[#This Row],[PAIS]]</f>
        <v>egypt</v>
      </c>
      <c r="E640" s="8" t="str">
        <f ca="1">IF(VLOOKUP(Tabla1[[#This Row],[PAIS]],$H$2:$I$34,2)="x","SI","NO")</f>
        <v>SI</v>
      </c>
    </row>
  </sheetData>
  <conditionalFormatting sqref="K2:K35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30:D551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2026-07-17T13:28:39Z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