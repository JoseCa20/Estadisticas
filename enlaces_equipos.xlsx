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80FD02BD-A925-40E0-9F28-A49C351237C5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A612" i="1"/>
  <c r="A613" i="1"/>
  <c r="A614" i="1"/>
  <c r="A615" i="1"/>
  <c r="A616" i="1"/>
  <c r="A617" i="1"/>
  <c r="A618" i="1"/>
  <c r="A619" i="1"/>
  <c r="A620" i="1"/>
  <c r="A621" i="1"/>
  <c r="C612" i="1"/>
  <c r="C613" i="1"/>
  <c r="C614" i="1"/>
  <c r="C615" i="1"/>
  <c r="C616" i="1"/>
  <c r="C617" i="1"/>
  <c r="C618" i="1"/>
  <c r="C619" i="1"/>
  <c r="C620" i="1"/>
  <c r="C621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6" i="1"/>
  <c r="H4" i="1"/>
  <c r="H5" i="1"/>
  <c r="H3" i="1"/>
  <c r="H2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44" i="1"/>
  <c r="C145" i="1"/>
  <c r="C146" i="1"/>
  <c r="C147" i="1"/>
  <c r="C148" i="1"/>
  <c r="C149" i="1"/>
  <c r="C150" i="1"/>
  <c r="C151" i="1"/>
  <c r="C152" i="1"/>
  <c r="C153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G2" i="1" l="1" a="1"/>
  <c r="D628" i="1" l="1"/>
  <c r="D640" i="1"/>
  <c r="D629" i="1"/>
  <c r="D641" i="1"/>
  <c r="D638" i="1"/>
  <c r="D626" i="1"/>
  <c r="D633" i="1"/>
  <c r="D634" i="1"/>
  <c r="D622" i="1"/>
  <c r="D639" i="1"/>
  <c r="D625" i="1"/>
  <c r="D627" i="1"/>
  <c r="D637" i="1"/>
  <c r="D623" i="1"/>
  <c r="D632" i="1"/>
  <c r="D624" i="1"/>
  <c r="D642" i="1"/>
  <c r="D636" i="1"/>
  <c r="D635" i="1"/>
  <c r="D630" i="1"/>
  <c r="D631" i="1"/>
  <c r="D616" i="1"/>
  <c r="D615" i="1"/>
  <c r="D617" i="1"/>
  <c r="D614" i="1"/>
  <c r="D613" i="1"/>
  <c r="D612" i="1"/>
  <c r="D619" i="1"/>
  <c r="D620" i="1"/>
  <c r="D621" i="1"/>
  <c r="D618" i="1"/>
  <c r="D510" i="1"/>
  <c r="D308" i="1"/>
  <c r="D183" i="1"/>
  <c r="D204" i="1"/>
  <c r="D143" i="1"/>
  <c r="D530" i="1"/>
  <c r="D186" i="1"/>
  <c r="D280" i="1"/>
  <c r="D567" i="1"/>
  <c r="D435" i="1"/>
  <c r="D588" i="1"/>
  <c r="D256" i="1"/>
  <c r="D218" i="1"/>
  <c r="D593" i="1"/>
  <c r="D180" i="1"/>
  <c r="D562" i="1"/>
  <c r="D508" i="1"/>
  <c r="D36" i="1"/>
  <c r="D498" i="1"/>
  <c r="D116" i="1"/>
  <c r="D447" i="1"/>
  <c r="D232" i="1"/>
  <c r="D134" i="1"/>
  <c r="D168" i="1"/>
  <c r="D526" i="1"/>
  <c r="D83" i="1"/>
  <c r="D459" i="1"/>
  <c r="D473" i="1"/>
  <c r="D150" i="1"/>
  <c r="D382" i="1"/>
  <c r="D295" i="1"/>
  <c r="D401" i="1"/>
  <c r="D590" i="1"/>
  <c r="D482" i="1"/>
  <c r="D92" i="1"/>
  <c r="D412" i="1"/>
  <c r="D208" i="1"/>
  <c r="D583" i="1"/>
  <c r="D122" i="1"/>
  <c r="D563" i="1"/>
  <c r="D132" i="1"/>
  <c r="D514" i="1"/>
  <c r="D598" i="1"/>
  <c r="D415" i="1"/>
  <c r="D104" i="1"/>
  <c r="D148" i="1"/>
  <c r="D220" i="1"/>
  <c r="D366" i="1"/>
  <c r="D556" i="1"/>
  <c r="D462" i="1"/>
  <c r="D162" i="1"/>
  <c r="D184" i="1"/>
  <c r="D565" i="1"/>
  <c r="D110" i="1"/>
  <c r="D551" i="1"/>
  <c r="D72" i="1"/>
  <c r="D502" i="1"/>
  <c r="D48" i="1"/>
  <c r="D342" i="1"/>
  <c r="D37" i="1"/>
  <c r="D470" i="1"/>
  <c r="D321" i="1"/>
  <c r="D413" i="1"/>
  <c r="D391" i="1"/>
  <c r="D610" i="1"/>
  <c r="D138" i="1"/>
  <c r="D303" i="1"/>
  <c r="D553" i="1"/>
  <c r="D564" i="1"/>
  <c r="D539" i="1"/>
  <c r="D528" i="1"/>
  <c r="D490" i="1"/>
  <c r="D190" i="1"/>
  <c r="D424" i="1"/>
  <c r="D261" i="1"/>
  <c r="D568" i="1"/>
  <c r="D566" i="1"/>
  <c r="D68" i="1"/>
  <c r="D200" i="1"/>
  <c r="D259" i="1"/>
  <c r="D375" i="1"/>
  <c r="D114" i="1"/>
  <c r="D291" i="1"/>
  <c r="D457" i="1"/>
  <c r="D540" i="1"/>
  <c r="D420" i="1"/>
  <c r="D504" i="1"/>
  <c r="D371" i="1"/>
  <c r="D178" i="1"/>
  <c r="D124" i="1"/>
  <c r="D175" i="1"/>
  <c r="D543" i="1"/>
  <c r="D297" i="1"/>
  <c r="D165" i="1"/>
  <c r="D211" i="1"/>
  <c r="D161" i="1"/>
  <c r="D572" i="1"/>
  <c r="D603" i="1"/>
  <c r="D279" i="1"/>
  <c r="D445" i="1"/>
  <c r="D516" i="1"/>
  <c r="D408" i="1"/>
  <c r="D444" i="1"/>
  <c r="D359" i="1"/>
  <c r="D166" i="1"/>
  <c r="D458" i="1"/>
  <c r="D317" i="1"/>
  <c r="D100" i="1"/>
  <c r="D509" i="1"/>
  <c r="D531" i="1"/>
  <c r="D599" i="1"/>
  <c r="D354" i="1"/>
  <c r="D137" i="1"/>
  <c r="D429" i="1"/>
  <c r="D533" i="1"/>
  <c r="D243" i="1"/>
  <c r="D433" i="1"/>
  <c r="D421" i="1"/>
  <c r="D396" i="1"/>
  <c r="D397" i="1"/>
  <c r="D347" i="1"/>
  <c r="D154" i="1"/>
  <c r="D596" i="1"/>
  <c r="D437" i="1"/>
  <c r="D494" i="1"/>
  <c r="D59" i="1"/>
  <c r="D242" i="1"/>
  <c r="D337" i="1"/>
  <c r="D379" i="1"/>
  <c r="D460" i="1"/>
  <c r="D33" i="1"/>
  <c r="D171" i="1"/>
  <c r="D229" i="1"/>
  <c r="D313" i="1"/>
  <c r="D471" i="1"/>
  <c r="D151" i="1"/>
  <c r="D127" i="1"/>
  <c r="D341" i="1"/>
  <c r="D474" i="1"/>
  <c r="D70" i="1"/>
  <c r="D345" i="1"/>
  <c r="D472" i="1"/>
  <c r="D558" i="1"/>
  <c r="D591" i="1"/>
  <c r="D306" i="1"/>
  <c r="D113" i="1"/>
  <c r="D393" i="1"/>
  <c r="D513" i="1"/>
  <c r="D207" i="1"/>
  <c r="D302" i="1"/>
  <c r="D385" i="1"/>
  <c r="D264" i="1"/>
  <c r="D373" i="1"/>
  <c r="D203" i="1"/>
  <c r="D142" i="1"/>
  <c r="D199" i="1"/>
  <c r="D102" i="1"/>
  <c r="D129" i="1"/>
  <c r="D234" i="1"/>
  <c r="D304" i="1"/>
  <c r="D265" i="1"/>
  <c r="D94" i="1"/>
  <c r="D260" i="1"/>
  <c r="D230" i="1"/>
  <c r="D192" i="1"/>
  <c r="D131" i="1"/>
  <c r="D128" i="1"/>
  <c r="D140" i="1"/>
  <c r="D555" i="1"/>
  <c r="D95" i="1"/>
  <c r="D532" i="1"/>
  <c r="D177" i="1"/>
  <c r="D496" i="1"/>
  <c r="D316" i="1"/>
  <c r="D438" i="1"/>
  <c r="D524" i="1"/>
  <c r="D258" i="1"/>
  <c r="D89" i="1"/>
  <c r="D163" i="1"/>
  <c r="D441" i="1"/>
  <c r="D195" i="1"/>
  <c r="D290" i="1"/>
  <c r="D349" i="1"/>
  <c r="D252" i="1"/>
  <c r="D361" i="1"/>
  <c r="D191" i="1"/>
  <c r="D130" i="1"/>
  <c r="G2" i="1"/>
  <c r="D29" i="1" s="1"/>
  <c r="D76" i="1"/>
  <c r="D544" i="1"/>
  <c r="D262" i="1"/>
  <c r="D299" i="1"/>
  <c r="D348" i="1"/>
  <c r="D605" i="1"/>
  <c r="D314" i="1"/>
  <c r="D315" i="1"/>
  <c r="D549" i="1"/>
  <c r="D91" i="1"/>
  <c r="D164" i="1"/>
  <c r="D411" i="1"/>
  <c r="D499" i="1"/>
  <c r="D356" i="1"/>
  <c r="D61" i="1"/>
  <c r="D525" i="1"/>
  <c r="D189" i="1"/>
  <c r="D368" i="1"/>
  <c r="D405" i="1"/>
  <c r="D196" i="1"/>
  <c r="D548" i="1"/>
  <c r="D388" i="1"/>
  <c r="D334" i="1"/>
  <c r="D311" i="1"/>
  <c r="D592" i="1"/>
  <c r="D52" i="1"/>
  <c r="D360" i="1"/>
  <c r="D53" i="1"/>
  <c r="D74" i="1"/>
  <c r="D350" i="1"/>
  <c r="D43" i="1"/>
  <c r="D136" i="1"/>
  <c r="D115" i="1"/>
  <c r="D521" i="1"/>
  <c r="D427" i="1"/>
  <c r="D535" i="1"/>
  <c r="D414" i="1"/>
  <c r="D201" i="1"/>
  <c r="D101" i="1"/>
  <c r="D224" i="1"/>
  <c r="D495" i="1"/>
  <c r="D141" i="1"/>
  <c r="D46" i="1"/>
  <c r="D547" i="1"/>
  <c r="D271" i="1"/>
  <c r="D346" i="1"/>
  <c r="D323" i="1"/>
  <c r="D604" i="1"/>
  <c r="D64" i="1"/>
  <c r="D372" i="1"/>
  <c r="D65" i="1"/>
  <c r="D86" i="1"/>
  <c r="D410" i="1"/>
  <c r="D55" i="1"/>
  <c r="D160" i="1"/>
  <c r="D587" i="1"/>
  <c r="D139" i="1"/>
  <c r="D573" i="1"/>
  <c r="D446" i="1"/>
  <c r="D35" i="1"/>
  <c r="D501" i="1"/>
  <c r="D402" i="1"/>
  <c r="D93" i="1"/>
  <c r="D176" i="1"/>
  <c r="D270" i="1"/>
  <c r="D559" i="1"/>
  <c r="D343" i="1"/>
  <c r="D486" i="1"/>
  <c r="D318" i="1"/>
  <c r="D335" i="1"/>
  <c r="D157" i="1"/>
  <c r="D384" i="1"/>
  <c r="D98" i="1"/>
  <c r="D422" i="1"/>
  <c r="D75" i="1"/>
  <c r="D353" i="1"/>
  <c r="D394" i="1"/>
  <c r="D355" i="1"/>
  <c r="D376" i="1"/>
  <c r="D497" i="1"/>
  <c r="D32" i="1"/>
  <c r="D135" i="1"/>
  <c r="D517" i="1"/>
  <c r="D278" i="1"/>
  <c r="D205" i="1"/>
  <c r="D503" i="1"/>
  <c r="D240" i="1"/>
  <c r="D40" i="1"/>
  <c r="D253" i="1"/>
  <c r="D478" i="1"/>
  <c r="D179" i="1"/>
  <c r="D322" i="1"/>
  <c r="D62" i="1"/>
  <c r="D489" i="1"/>
  <c r="D580" i="1"/>
  <c r="D418" i="1"/>
  <c r="D71" i="1"/>
  <c r="D69" i="1"/>
  <c r="D450" i="1"/>
  <c r="D309" i="1"/>
  <c r="D380" i="1"/>
  <c r="D403" i="1"/>
  <c r="D126" i="1"/>
  <c r="D557" i="1"/>
  <c r="D377" i="1"/>
  <c r="D34" i="1"/>
  <c r="D305" i="1"/>
  <c r="D332" i="1"/>
  <c r="D331" i="1"/>
  <c r="D330" i="1"/>
  <c r="D477" i="1"/>
  <c r="D99" i="1"/>
  <c r="D505" i="1"/>
  <c r="D266" i="1"/>
  <c r="D42" i="1"/>
  <c r="D169" i="1"/>
  <c r="D491" i="1"/>
  <c r="D228" i="1"/>
  <c r="D241" i="1"/>
  <c r="D442" i="1"/>
  <c r="D167" i="1"/>
  <c r="D310" i="1"/>
  <c r="D579" i="1"/>
  <c r="D77" i="1"/>
  <c r="D487" i="1"/>
  <c r="D506" i="1"/>
  <c r="D600" i="1"/>
  <c r="D417" i="1"/>
  <c r="D223" i="1"/>
  <c r="D296" i="1"/>
  <c r="D81" i="1"/>
  <c r="D80" i="1"/>
  <c r="D537" i="1"/>
  <c r="D307" i="1"/>
  <c r="D608" i="1"/>
  <c r="D185" i="1"/>
  <c r="D284" i="1"/>
  <c r="D187" i="1"/>
  <c r="D210" i="1"/>
  <c r="D461" i="1"/>
  <c r="D327" i="1"/>
  <c r="D87" i="1"/>
  <c r="D493" i="1"/>
  <c r="D254" i="1"/>
  <c r="D73" i="1"/>
  <c r="D455" i="1"/>
  <c r="D216" i="1"/>
  <c r="D594" i="1"/>
  <c r="D217" i="1"/>
  <c r="D430" i="1"/>
  <c r="D155" i="1"/>
  <c r="D298" i="1"/>
  <c r="D197" i="1"/>
  <c r="D245" i="1"/>
  <c r="D225" i="1"/>
  <c r="D287" i="1"/>
  <c r="D250" i="1"/>
  <c r="D50" i="1"/>
  <c r="D597" i="1"/>
  <c r="D545" i="1"/>
  <c r="D357" i="1"/>
  <c r="D344" i="1"/>
  <c r="D602" i="1"/>
  <c r="D249" i="1"/>
  <c r="D45" i="1"/>
  <c r="D149" i="1"/>
  <c r="D507" i="1"/>
  <c r="D340" i="1"/>
  <c r="D293" i="1"/>
  <c r="D79" i="1"/>
  <c r="D212" i="1"/>
  <c r="D589" i="1"/>
  <c r="D233" i="1"/>
  <c r="D485" i="1"/>
  <c r="D536" i="1"/>
  <c r="D90" i="1"/>
  <c r="D390" i="1"/>
  <c r="D351" i="1"/>
  <c r="D159" i="1"/>
  <c r="D398" i="1"/>
  <c r="D158" i="1"/>
  <c r="D606" i="1"/>
  <c r="D133" i="1"/>
  <c r="D527" i="1"/>
  <c r="D336" i="1"/>
  <c r="D96" i="1"/>
  <c r="D492" i="1"/>
  <c r="D145" i="1"/>
  <c r="D466" i="1"/>
  <c r="D275" i="1"/>
  <c r="D51" i="1"/>
  <c r="D238" i="1"/>
  <c r="D38" i="1"/>
  <c r="D152" i="1"/>
  <c r="D273" i="1"/>
  <c r="D581" i="1"/>
  <c r="D269" i="1"/>
  <c r="D561" i="1"/>
  <c r="D174" i="1"/>
  <c r="D584" i="1"/>
  <c r="D103" i="1"/>
  <c r="D381" i="1"/>
  <c r="D294" i="1"/>
  <c r="D247" i="1"/>
  <c r="D49" i="1"/>
  <c r="D188" i="1"/>
  <c r="D571" i="1"/>
  <c r="D570" i="1"/>
  <c r="D209" i="1"/>
  <c r="D449" i="1"/>
  <c r="D500" i="1"/>
  <c r="D609" i="1"/>
  <c r="D328" i="1"/>
  <c r="D339" i="1"/>
  <c r="D147" i="1"/>
  <c r="D577" i="1"/>
  <c r="D386" i="1"/>
  <c r="D146" i="1"/>
  <c r="D582" i="1"/>
  <c r="D85" i="1"/>
  <c r="D515" i="1"/>
  <c r="D324" i="1"/>
  <c r="D84" i="1"/>
  <c r="D468" i="1"/>
  <c r="D121" i="1"/>
  <c r="D454" i="1"/>
  <c r="D239" i="1"/>
  <c r="D39" i="1"/>
  <c r="D202" i="1"/>
  <c r="D399" i="1"/>
  <c r="D476" i="1"/>
  <c r="D78" i="1"/>
  <c r="D237" i="1"/>
  <c r="D512" i="1"/>
  <c r="D105" i="1"/>
  <c r="D244" i="1"/>
  <c r="D364" i="1"/>
  <c r="D452" i="1"/>
  <c r="D522" i="1"/>
  <c r="D585" i="1"/>
  <c r="D213" i="1"/>
  <c r="D367" i="1"/>
  <c r="D292" i="1"/>
  <c r="D465" i="1"/>
  <c r="D520" i="1"/>
  <c r="D463" i="1"/>
  <c r="D534" i="1"/>
  <c r="D281" i="1"/>
  <c r="D283" i="1"/>
  <c r="D519" i="1"/>
  <c r="D58" i="1"/>
  <c r="D426" i="1"/>
  <c r="D112" i="1"/>
  <c r="D231" i="1"/>
  <c r="D541" i="1"/>
  <c r="D374" i="1"/>
  <c r="D206" i="1"/>
  <c r="D325" i="1"/>
  <c r="D41" i="1"/>
  <c r="D479" i="1"/>
  <c r="D312" i="1"/>
  <c r="D120" i="1"/>
  <c r="D576" i="1"/>
  <c r="D301" i="1"/>
  <c r="D419" i="1"/>
  <c r="D227" i="1"/>
  <c r="D286" i="1"/>
  <c r="D118" i="1"/>
  <c r="D423" i="1"/>
  <c r="D198" i="1"/>
  <c r="D546" i="1"/>
  <c r="D434" i="1"/>
  <c r="D542" i="1"/>
  <c r="D268" i="1"/>
  <c r="D560" i="1"/>
  <c r="D248" i="1"/>
  <c r="D387" i="1"/>
  <c r="D416" i="1"/>
  <c r="D404" i="1"/>
  <c r="D173" i="1"/>
  <c r="D333" i="1"/>
  <c r="D246" i="1"/>
  <c r="D484" i="1"/>
  <c r="D392" i="1"/>
  <c r="D518" i="1"/>
  <c r="D257" i="1"/>
  <c r="D611" i="1"/>
  <c r="D60" i="1"/>
  <c r="D235" i="1"/>
  <c r="D483" i="1"/>
  <c r="D406" i="1"/>
  <c r="D56" i="1"/>
  <c r="D219" i="1"/>
  <c r="D67" i="1"/>
  <c r="D529" i="1"/>
  <c r="D362" i="1"/>
  <c r="D170" i="1"/>
  <c r="D289" i="1"/>
  <c r="D467" i="1"/>
  <c r="D276" i="1"/>
  <c r="D108" i="1"/>
  <c r="D552" i="1"/>
  <c r="D277" i="1"/>
  <c r="D574" i="1"/>
  <c r="D383" i="1"/>
  <c r="D215" i="1"/>
  <c r="D63" i="1"/>
  <c r="D274" i="1"/>
  <c r="D106" i="1"/>
  <c r="D453" i="1"/>
  <c r="D319" i="1"/>
  <c r="D285" i="1"/>
  <c r="D511" i="1"/>
  <c r="D117" i="1"/>
  <c r="D365" i="1"/>
  <c r="D47" i="1"/>
  <c r="D586" i="1"/>
  <c r="D451" i="1"/>
  <c r="D425" i="1"/>
  <c r="D389" i="1"/>
  <c r="D400" i="1"/>
  <c r="D578" i="1"/>
  <c r="D214" i="1"/>
  <c r="D358" i="1"/>
  <c r="D107" i="1"/>
  <c r="D251" i="1"/>
  <c r="D395" i="1"/>
  <c r="D538" i="1"/>
  <c r="D181" i="1"/>
  <c r="D409" i="1"/>
  <c r="D144" i="1"/>
  <c r="D288" i="1"/>
  <c r="D431" i="1"/>
  <c r="D575" i="1"/>
  <c r="D97" i="1"/>
  <c r="D456" i="1"/>
  <c r="D54" i="1"/>
  <c r="D182" i="1"/>
  <c r="D326" i="1"/>
  <c r="D469" i="1"/>
  <c r="D595" i="1"/>
  <c r="D111" i="1"/>
  <c r="D255" i="1"/>
  <c r="D352" i="1"/>
  <c r="D569" i="1"/>
  <c r="D282" i="1"/>
  <c r="D464" i="1"/>
  <c r="D236" i="1"/>
  <c r="D57" i="1"/>
  <c r="D329" i="1"/>
  <c r="D554" i="1"/>
  <c r="D428" i="1"/>
  <c r="D448" i="1"/>
  <c r="D378" i="1"/>
  <c r="D125" i="1"/>
  <c r="D172" i="1"/>
  <c r="D221" i="1"/>
  <c r="D439" i="1"/>
  <c r="D44" i="1"/>
  <c r="D475" i="1"/>
  <c r="D436" i="1"/>
  <c r="D601" i="1"/>
  <c r="D222" i="1"/>
  <c r="D440" i="1"/>
  <c r="D523" i="1"/>
  <c r="D363" i="1"/>
  <c r="D320" i="1"/>
  <c r="D272" i="1"/>
  <c r="D153" i="1"/>
  <c r="D488" i="1"/>
  <c r="D82" i="1"/>
  <c r="D226" i="1"/>
  <c r="D370" i="1"/>
  <c r="D119" i="1"/>
  <c r="D263" i="1"/>
  <c r="D407" i="1"/>
  <c r="D550" i="1"/>
  <c r="D193" i="1"/>
  <c r="D432" i="1"/>
  <c r="D156" i="1"/>
  <c r="D300" i="1"/>
  <c r="D443" i="1"/>
  <c r="D109" i="1"/>
  <c r="D480" i="1"/>
  <c r="D66" i="1"/>
  <c r="D194" i="1"/>
  <c r="D338" i="1"/>
  <c r="D481" i="1"/>
  <c r="D607" i="1"/>
  <c r="D123" i="1"/>
  <c r="D267" i="1"/>
  <c r="D88" i="1"/>
  <c r="D369" i="1"/>
  <c r="D10" i="1" l="1"/>
  <c r="D4" i="1"/>
  <c r="D17" i="1"/>
  <c r="D25" i="1"/>
  <c r="D30" i="1"/>
  <c r="D13" i="1"/>
  <c r="D23" i="1"/>
  <c r="D16" i="1"/>
  <c r="D12" i="1"/>
  <c r="D3" i="1"/>
  <c r="D26" i="1"/>
  <c r="D31" i="1"/>
  <c r="D5" i="1"/>
  <c r="D18" i="1"/>
  <c r="D22" i="1"/>
  <c r="D21" i="1"/>
  <c r="D24" i="1"/>
  <c r="D14" i="1"/>
  <c r="D15" i="1"/>
  <c r="D11" i="1"/>
  <c r="D2" i="1"/>
  <c r="D6" i="1"/>
  <c r="D8" i="1"/>
  <c r="D9" i="1"/>
  <c r="D28" i="1"/>
  <c r="D20" i="1"/>
  <c r="D19" i="1"/>
  <c r="D7" i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<sst xmlns="http://schemas.openxmlformats.org/spreadsheetml/2006/main" count="678" uniqueCount="628">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</sst>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42" totalsRowShown="0" headerRowDxfId="4">
  <autoFilter ref="A1:D642" xr:uid="{1329FF03-B366-468C-915B-7B9006981626}"/>
  <sortState xmlns:xlrd2="http://schemas.microsoft.com/office/spreadsheetml/2017/richdata2" ref="A2:C611">
    <sortCondition ref="C1:C611"/>
  </sortState>
  <tableColumns count="4">
    <tableColumn id="2" xr3:uid="{94084D0E-9EB8-4AA2-8B8F-47973A2CEB88}" name="EQUIPO" dataDxfId="3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2">
      <calculatedColumnFormula>_xlfn.TEXTBEFORE(_xlfn.TEXTAFTER(Tabla1[[#This Row],[ENLACE]],"/",1),"/")</calculatedColumnFormula>
    </tableColumn>
    <tableColumn id="4" xr3:uid="{864CABB9-1E94-4601-B818-3F8256A83250}" name="ANALIZAR" dataDxfId="1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J642"/>
  <sheetViews>
    <sheetView tabSelected="1" workbookViewId="0">
      <selection activeCell="K17" sqref="K17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575</v>
      </c>
    </row>
    <row r="2" spans="1:10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138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SI</v>
      </c>
      <c r="G2" s="9" t="str" cm="1">
        <f t="array" ref="G2:G34">_xlfn.UNIQUE(Tabla1[PAIS])</f>
        <v>argentina</v>
      </c>
      <c r="H2" s="9" t="str">
        <f ca="1">IF(I2&gt;TODAY(),"","X")</f>
        <v>X</v>
      </c>
      <c r="I2" s="10">
        <v>46044</v>
      </c>
      <c r="J2" s="9" t="s">
        <v>576</v>
      </c>
    </row>
    <row r="3" spans="1:10" x14ac:dyDescent="0.3">
      <c r="A3" t="str">
        <f>MID(Tabla1[[#This Row],[ENLACE]],FIND("~",SUBSTITUTE(Tabla1[[#This Row],[ENLACE]],"/","~",2))+1,LEN(Tabla1[[#This Row],[ENLACE]]))</f>
        <v>argentinos-juniors</v>
      </c>
      <c r="B3" t="s">
        <v>139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SI</v>
      </c>
      <c r="G3" s="9" t="str">
        <v>australia</v>
      </c>
      <c r="H3" s="9" t="str">
        <f ca="1">IF(I3&gt;TODAY(),"","X")</f>
        <v>X</v>
      </c>
      <c r="I3" s="10">
        <v>46030</v>
      </c>
      <c r="J3" s="9" t="s">
        <v>576</v>
      </c>
    </row>
    <row r="4" spans="1:10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140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SI</v>
      </c>
      <c r="G4" s="9" t="str">
        <v>austria</v>
      </c>
      <c r="H4" s="9" t="str">
        <f t="shared" ref="H4:H35" ca="1" si="0">IF(I4&gt;TODAY(),"","X")</f>
        <v>X</v>
      </c>
      <c r="I4" s="10">
        <v>46059</v>
      </c>
      <c r="J4" s="9" t="s">
        <v>576</v>
      </c>
    </row>
    <row r="5" spans="1:10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141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SI</v>
      </c>
      <c r="G5" s="9" t="str">
        <v>belgium</v>
      </c>
      <c r="H5" s="9" t="str">
        <f t="shared" ca="1" si="0"/>
        <v>X</v>
      </c>
      <c r="I5" s="10">
        <v>46038</v>
      </c>
      <c r="J5" s="9" t="s">
        <v>576</v>
      </c>
    </row>
    <row r="6" spans="1:10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142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SI</v>
      </c>
      <c r="G6" s="9" t="str">
        <v>brazil</v>
      </c>
      <c r="H6" s="9" t="str">
        <f t="shared" ca="1" si="0"/>
        <v>X</v>
      </c>
      <c r="I6" s="10">
        <v>46050</v>
      </c>
      <c r="J6" s="9" t="s">
        <v>576</v>
      </c>
    </row>
    <row r="7" spans="1:10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143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SI</v>
      </c>
      <c r="G7" s="9" t="str">
        <v>bulgaria</v>
      </c>
      <c r="H7" s="9" t="str">
        <f t="shared" ca="1" si="0"/>
        <v/>
      </c>
      <c r="I7" s="10">
        <v>46387</v>
      </c>
      <c r="J7" s="9" t="s">
        <v>576</v>
      </c>
    </row>
    <row r="8" spans="1:10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144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SI</v>
      </c>
      <c r="G8" s="9" t="str">
        <v>chile</v>
      </c>
      <c r="H8" s="9" t="str">
        <f t="shared" ca="1" si="0"/>
        <v>X</v>
      </c>
      <c r="I8" s="10">
        <v>46052</v>
      </c>
      <c r="J8" s="9" t="s">
        <v>576</v>
      </c>
    </row>
    <row r="9" spans="1:10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145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SI</v>
      </c>
      <c r="G9" s="9" t="str">
        <v>colombia</v>
      </c>
      <c r="H9" s="9" t="str">
        <f t="shared" ca="1" si="0"/>
        <v>X</v>
      </c>
      <c r="I9" s="10">
        <v>46039</v>
      </c>
      <c r="J9" s="9" t="s">
        <v>576</v>
      </c>
    </row>
    <row r="10" spans="1:10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146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SI</v>
      </c>
      <c r="G10" s="9" t="str">
        <v>croatia</v>
      </c>
      <c r="H10" s="9" t="str">
        <f t="shared" ca="1" si="0"/>
        <v>X</v>
      </c>
      <c r="I10" s="10">
        <v>46045</v>
      </c>
      <c r="J10" s="9" t="s">
        <v>576</v>
      </c>
    </row>
    <row r="11" spans="1:10" x14ac:dyDescent="0.3">
      <c r="A11" t="str">
        <f>MID(Tabla1[[#This Row],[ENLACE]],FIND("~",SUBSTITUTE(Tabla1[[#This Row],[ENLACE]],"/","~",2))+1,LEN(Tabla1[[#This Row],[ENLACE]]))</f>
        <v>deportivo-riestra</v>
      </c>
      <c r="B11" t="s">
        <v>147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SI</v>
      </c>
      <c r="G11" s="9" t="str">
        <v>czech-republic</v>
      </c>
      <c r="H11" s="9" t="str">
        <f t="shared" ca="1" si="0"/>
        <v>X</v>
      </c>
      <c r="I11" s="10">
        <v>46053</v>
      </c>
      <c r="J11" s="9" t="s">
        <v>576</v>
      </c>
    </row>
    <row r="12" spans="1:10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148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SI</v>
      </c>
      <c r="G12" s="9" t="str">
        <v>denmark</v>
      </c>
      <c r="H12" s="9" t="str">
        <f t="shared" ca="1" si="0"/>
        <v>X</v>
      </c>
      <c r="I12" s="10">
        <v>46059</v>
      </c>
      <c r="J12" s="9" t="s">
        <v>576</v>
      </c>
    </row>
    <row r="13" spans="1:10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590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SI</v>
      </c>
      <c r="G13" s="9" t="str">
        <v>ecuador</v>
      </c>
      <c r="H13" s="9" t="str">
        <f t="shared" ca="1" si="0"/>
        <v>X</v>
      </c>
      <c r="I13" s="10">
        <v>46073</v>
      </c>
      <c r="J13" s="9" t="s">
        <v>576</v>
      </c>
    </row>
    <row r="14" spans="1:10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149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SI</v>
      </c>
      <c r="G14" s="9" t="str">
        <v>england</v>
      </c>
      <c r="H14" s="9" t="str">
        <f t="shared" ca="1" si="0"/>
        <v>X</v>
      </c>
      <c r="I14" s="10">
        <v>46030</v>
      </c>
      <c r="J14" s="9" t="s">
        <v>576</v>
      </c>
    </row>
    <row r="15" spans="1:10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591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SI</v>
      </c>
      <c r="G15" s="9" t="str">
        <v>finland</v>
      </c>
      <c r="H15" s="9" t="str">
        <f t="shared" ca="1" si="0"/>
        <v>X</v>
      </c>
      <c r="I15" s="10">
        <v>46116</v>
      </c>
      <c r="J15" s="9" t="s">
        <v>576</v>
      </c>
    </row>
    <row r="16" spans="1:10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150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SI</v>
      </c>
      <c r="G16" s="9" t="str">
        <v>france</v>
      </c>
      <c r="H16" s="9" t="str">
        <f t="shared" ca="1" si="0"/>
        <v>X</v>
      </c>
      <c r="I16" s="10">
        <v>46030</v>
      </c>
      <c r="J16" s="9" t="s">
        <v>576</v>
      </c>
    </row>
    <row r="17" spans="1:10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151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SI</v>
      </c>
      <c r="G17" s="9" t="str">
        <v>germany</v>
      </c>
      <c r="H17" s="9" t="str">
        <f t="shared" ca="1" si="0"/>
        <v>X</v>
      </c>
      <c r="I17" s="10">
        <v>46030</v>
      </c>
      <c r="J17" s="9" t="s">
        <v>576</v>
      </c>
    </row>
    <row r="18" spans="1:10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152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SI</v>
      </c>
      <c r="G18" s="9" t="str">
        <v>greece</v>
      </c>
      <c r="H18" s="9" t="str">
        <f t="shared" ca="1" si="0"/>
        <v>X</v>
      </c>
      <c r="I18" s="10">
        <v>46030</v>
      </c>
      <c r="J18" s="9" t="s">
        <v>576</v>
      </c>
    </row>
    <row r="19" spans="1:10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153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SI</v>
      </c>
      <c r="G19" s="9" t="str">
        <v>italy</v>
      </c>
      <c r="H19" s="9" t="str">
        <f t="shared" ca="1" si="0"/>
        <v>X</v>
      </c>
      <c r="I19" s="10">
        <v>46030</v>
      </c>
      <c r="J19" s="9" t="s">
        <v>576</v>
      </c>
    </row>
    <row r="20" spans="1:10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154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SI</v>
      </c>
      <c r="G20" s="9" t="str">
        <v>mexico</v>
      </c>
      <c r="H20" s="9" t="str">
        <f t="shared" ca="1" si="0"/>
        <v>X</v>
      </c>
      <c r="I20" s="10">
        <v>46031</v>
      </c>
      <c r="J20" s="9" t="s">
        <v>576</v>
      </c>
    </row>
    <row r="21" spans="1:10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155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SI</v>
      </c>
      <c r="G21" s="9" t="str">
        <v>netherlands</v>
      </c>
      <c r="H21" s="9" t="str">
        <f t="shared" ca="1" si="0"/>
        <v>X</v>
      </c>
      <c r="I21" s="10">
        <v>46030</v>
      </c>
      <c r="J21" s="9" t="s">
        <v>576</v>
      </c>
    </row>
    <row r="22" spans="1:10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156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SI</v>
      </c>
      <c r="G22" s="9" t="str">
        <v>norway</v>
      </c>
      <c r="H22" s="9" t="str">
        <f t="shared" ca="1" si="0"/>
        <v>X</v>
      </c>
      <c r="I22" s="10">
        <v>46095</v>
      </c>
      <c r="J22" s="9" t="s">
        <v>576</v>
      </c>
    </row>
    <row r="23" spans="1:10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157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SI</v>
      </c>
      <c r="G23" s="9" t="str">
        <v>peru</v>
      </c>
      <c r="H23" s="9" t="str">
        <f t="shared" ca="1" si="0"/>
        <v>X</v>
      </c>
      <c r="I23" s="10">
        <v>46052</v>
      </c>
      <c r="J23" s="9" t="s">
        <v>576</v>
      </c>
    </row>
    <row r="24" spans="1:10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158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SI</v>
      </c>
      <c r="G24" s="9" t="str">
        <v>poland</v>
      </c>
      <c r="H24" s="9" t="str">
        <f t="shared" ca="1" si="0"/>
        <v>X</v>
      </c>
      <c r="I24" s="10">
        <v>46052</v>
      </c>
      <c r="J24" s="9" t="s">
        <v>576</v>
      </c>
    </row>
    <row r="25" spans="1:10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159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SI</v>
      </c>
      <c r="G25" s="9" t="str">
        <v>portugal</v>
      </c>
      <c r="H25" s="9" t="str">
        <f t="shared" ca="1" si="0"/>
        <v>X</v>
      </c>
      <c r="I25" s="10">
        <v>46030</v>
      </c>
      <c r="J25" s="9" t="s">
        <v>576</v>
      </c>
    </row>
    <row r="26" spans="1:10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160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SI</v>
      </c>
      <c r="G26" s="9" t="str">
        <v>romania</v>
      </c>
      <c r="H26" s="9" t="str">
        <f t="shared" ca="1" si="0"/>
        <v>X</v>
      </c>
      <c r="I26" s="10">
        <v>46038</v>
      </c>
      <c r="J26" s="9" t="s">
        <v>576</v>
      </c>
    </row>
    <row r="27" spans="1:10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161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SI</v>
      </c>
      <c r="G27" s="9" t="str">
        <v>saudi-arabia</v>
      </c>
      <c r="H27" s="9" t="str">
        <f t="shared" ca="1" si="0"/>
        <v>X</v>
      </c>
      <c r="I27" s="10">
        <v>46030</v>
      </c>
      <c r="J27" s="9" t="s">
        <v>576</v>
      </c>
    </row>
    <row r="28" spans="1:10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162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SI</v>
      </c>
      <c r="G28" s="9" t="str">
        <v>scotland</v>
      </c>
      <c r="H28" s="9" t="str">
        <f t="shared" ca="1" si="0"/>
        <v>X</v>
      </c>
      <c r="I28" s="10">
        <v>46030</v>
      </c>
      <c r="J28" s="9" t="s">
        <v>576</v>
      </c>
    </row>
    <row r="29" spans="1:10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163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SI</v>
      </c>
      <c r="G29" s="9" t="str">
        <v>spain</v>
      </c>
      <c r="H29" s="9" t="str">
        <f t="shared" ca="1" si="0"/>
        <v>X</v>
      </c>
      <c r="I29" s="10">
        <v>46030</v>
      </c>
      <c r="J29" s="9" t="s">
        <v>576</v>
      </c>
    </row>
    <row r="30" spans="1:10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164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SI</v>
      </c>
      <c r="G30" s="9" t="str">
        <v>sweden</v>
      </c>
      <c r="H30" s="9" t="str">
        <f t="shared" ca="1" si="0"/>
        <v>X</v>
      </c>
      <c r="I30" s="10">
        <v>46117</v>
      </c>
      <c r="J30" s="9" t="s">
        <v>576</v>
      </c>
    </row>
    <row r="31" spans="1:10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165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SI</v>
      </c>
      <c r="G31" s="9" t="str">
        <v>switzerland</v>
      </c>
      <c r="H31" s="9" t="str">
        <f t="shared" ca="1" si="0"/>
        <v>X</v>
      </c>
      <c r="I31" s="10">
        <v>46036</v>
      </c>
      <c r="J31" s="9" t="s">
        <v>576</v>
      </c>
    </row>
    <row r="32" spans="1:10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553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usa</v>
      </c>
      <c r="H32" s="9" t="str">
        <f t="shared" ca="1" si="0"/>
        <v>X</v>
      </c>
      <c r="I32" s="10">
        <v>46074</v>
      </c>
      <c r="J32" s="9" t="s">
        <v>576</v>
      </c>
    </row>
    <row r="33" spans="1:10" x14ac:dyDescent="0.3">
      <c r="A33" t="str">
        <f>MID(Tabla1[[#This Row],[ENLACE]],FIND("~",SUBSTITUTE(Tabla1[[#This Row],[ENLACE]],"/","~",2))+1,LEN(Tabla1[[#This Row],[ENLACE]]))</f>
        <v>auckland-fc</v>
      </c>
      <c r="B33" s="3" t="s">
        <v>554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ireland</v>
      </c>
      <c r="H33" s="9" t="str">
        <f t="shared" ca="1" si="0"/>
        <v>X</v>
      </c>
      <c r="I33" s="10">
        <v>46121</v>
      </c>
      <c r="J33" s="9" t="s">
        <v>576</v>
      </c>
    </row>
    <row r="34" spans="1:10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555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  <c r="G34" s="9" t="str">
        <v>egypt</v>
      </c>
      <c r="H34" s="9" t="str">
        <f t="shared" ca="1" si="0"/>
        <v>X</v>
      </c>
      <c r="I34" s="10">
        <v>46121</v>
      </c>
      <c r="J34" s="9" t="s">
        <v>576</v>
      </c>
    </row>
    <row r="35" spans="1:10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556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  <c r="G35" s="9"/>
      <c r="H35" s="9"/>
      <c r="I35" s="10"/>
      <c r="J35" s="9"/>
    </row>
    <row r="36" spans="1:10" x14ac:dyDescent="0.3">
      <c r="A36" t="str">
        <f>MID(Tabla1[[#This Row],[ENLACE]],FIND("~",SUBSTITUTE(Tabla1[[#This Row],[ENLACE]],"/","~",2))+1,LEN(Tabla1[[#This Row],[ENLACE]]))</f>
        <v>macarthur-fc</v>
      </c>
      <c r="B36" s="3" t="s">
        <v>557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10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558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10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559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10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560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10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561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10" x14ac:dyDescent="0.3">
      <c r="A41" t="str">
        <f>MID(Tabla1[[#This Row],[ENLACE]],FIND("~",SUBSTITUTE(Tabla1[[#This Row],[ENLACE]],"/","~",2))+1,LEN(Tabla1[[#This Row],[ENLACE]]))</f>
        <v>sydney-fc</v>
      </c>
      <c r="B41" s="3" t="s">
        <v>562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10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563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10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564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10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SI</v>
      </c>
    </row>
    <row r="45" spans="1:10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SI</v>
      </c>
    </row>
    <row r="46" spans="1:10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SI</v>
      </c>
    </row>
    <row r="47" spans="1:10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SI</v>
      </c>
    </row>
    <row r="48" spans="1:10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SI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SI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SI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SI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SI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SI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SI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SI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SI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SI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SI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SI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SI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SI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SI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SI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SI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SI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SI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SI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SI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SI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SI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SI</v>
      </c>
    </row>
    <row r="72" spans="1:4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580</v>
      </c>
      <c r="C72" t="str">
        <f>_xlfn.TEXTBEFORE(_xlfn.TEXTAFTER(Tabla1[[#This Row],[ENLACE]],"/",1),"/")</f>
        <v>brazil</v>
      </c>
      <c r="D72" s="8" t="str">
        <f ca="1">IF(VLOOKUP(Tabla1[[#This Row],[PAIS]],$G$2:$H$34,2)="x","SI","NO")</f>
        <v>SI</v>
      </c>
    </row>
    <row r="73" spans="1:4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106</v>
      </c>
      <c r="C73" t="str">
        <f>_xlfn.TEXTBEFORE(_xlfn.TEXTAFTER(Tabla1[[#This Row],[ENLACE]],"/",1),"/")</f>
        <v>brazil</v>
      </c>
      <c r="D73" s="8" t="str">
        <f ca="1">IF(VLOOKUP(Tabla1[[#This Row],[PAIS]],$G$2:$H$34,2)="x","SI","NO")</f>
        <v>SI</v>
      </c>
    </row>
    <row r="74" spans="1:4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107</v>
      </c>
      <c r="C74" t="str">
        <f>_xlfn.TEXTBEFORE(_xlfn.TEXTAFTER(Tabla1[[#This Row],[ENLACE]],"/",1),"/")</f>
        <v>brazil</v>
      </c>
      <c r="D74" s="8" t="str">
        <f ca="1">IF(VLOOKUP(Tabla1[[#This Row],[PAIS]],$G$2:$H$34,2)="x","SI","NO")</f>
        <v>SI</v>
      </c>
    </row>
    <row r="75" spans="1:4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108</v>
      </c>
      <c r="C75" t="str">
        <f>_xlfn.TEXTBEFORE(_xlfn.TEXTAFTER(Tabla1[[#This Row],[ENLACE]],"/",1),"/")</f>
        <v>brazil</v>
      </c>
      <c r="D75" s="8" t="str">
        <f ca="1">IF(VLOOKUP(Tabla1[[#This Row],[PAIS]],$G$2:$H$34,2)="x","SI","NO")</f>
        <v>SI</v>
      </c>
    </row>
    <row r="76" spans="1:4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109</v>
      </c>
      <c r="C76" t="str">
        <f>_xlfn.TEXTBEFORE(_xlfn.TEXTAFTER(Tabla1[[#This Row],[ENLACE]],"/",1),"/")</f>
        <v>brazil</v>
      </c>
      <c r="D76" s="8" t="str">
        <f ca="1">IF(VLOOKUP(Tabla1[[#This Row],[PAIS]],$G$2:$H$34,2)="x","SI","NO")</f>
        <v>SI</v>
      </c>
    </row>
    <row r="77" spans="1:4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581</v>
      </c>
      <c r="C77" t="str">
        <f>_xlfn.TEXTBEFORE(_xlfn.TEXTAFTER(Tabla1[[#This Row],[ENLACE]],"/",1),"/")</f>
        <v>brazil</v>
      </c>
      <c r="D77" s="8" t="str">
        <f ca="1">IF(VLOOKUP(Tabla1[[#This Row],[PAIS]],$G$2:$H$34,2)="x","SI","NO")</f>
        <v>SI</v>
      </c>
    </row>
    <row r="78" spans="1:4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110</v>
      </c>
      <c r="C78" t="str">
        <f>_xlfn.TEXTBEFORE(_xlfn.TEXTAFTER(Tabla1[[#This Row],[ENLACE]],"/",1),"/")</f>
        <v>brazil</v>
      </c>
      <c r="D78" s="8" t="str">
        <f ca="1">IF(VLOOKUP(Tabla1[[#This Row],[PAIS]],$G$2:$H$34,2)="x","SI","NO")</f>
        <v>SI</v>
      </c>
    </row>
    <row r="79" spans="1:4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582</v>
      </c>
      <c r="C79" t="str">
        <f>_xlfn.TEXTBEFORE(_xlfn.TEXTAFTER(Tabla1[[#This Row],[ENLACE]],"/",1),"/")</f>
        <v>brazil</v>
      </c>
      <c r="D79" s="8" t="str">
        <f ca="1">IF(VLOOKUP(Tabla1[[#This Row],[PAIS]],$G$2:$H$34,2)="x","SI","NO")</f>
        <v>SI</v>
      </c>
    </row>
    <row r="80" spans="1:4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111</v>
      </c>
      <c r="C80" t="str">
        <f>_xlfn.TEXTBEFORE(_xlfn.TEXTAFTER(Tabla1[[#This Row],[ENLACE]],"/",1),"/")</f>
        <v>brazil</v>
      </c>
      <c r="D80" s="8" t="str">
        <f ca="1">IF(VLOOKUP(Tabla1[[#This Row],[PAIS]],$G$2:$H$34,2)="x","SI","NO")</f>
        <v>SI</v>
      </c>
    </row>
    <row r="81" spans="1:4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112</v>
      </c>
      <c r="C81" t="str">
        <f>_xlfn.TEXTBEFORE(_xlfn.TEXTAFTER(Tabla1[[#This Row],[ENLACE]],"/",1),"/")</f>
        <v>brazil</v>
      </c>
      <c r="D81" s="8" t="str">
        <f ca="1">IF(VLOOKUP(Tabla1[[#This Row],[PAIS]],$G$2:$H$34,2)="x","SI","NO")</f>
        <v>SI</v>
      </c>
    </row>
    <row r="82" spans="1:4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113</v>
      </c>
      <c r="C82" t="str">
        <f>_xlfn.TEXTBEFORE(_xlfn.TEXTAFTER(Tabla1[[#This Row],[ENLACE]],"/",1),"/")</f>
        <v>brazil</v>
      </c>
      <c r="D82" s="8" t="str">
        <f ca="1">IF(VLOOKUP(Tabla1[[#This Row],[PAIS]],$G$2:$H$34,2)="x","SI","NO")</f>
        <v>SI</v>
      </c>
    </row>
    <row r="83" spans="1:4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114</v>
      </c>
      <c r="C83" t="str">
        <f>_xlfn.TEXTBEFORE(_xlfn.TEXTAFTER(Tabla1[[#This Row],[ENLACE]],"/",1),"/")</f>
        <v>brazil</v>
      </c>
      <c r="D83" s="8" t="str">
        <f ca="1">IF(VLOOKUP(Tabla1[[#This Row],[PAIS]],$G$2:$H$34,2)="x","SI","NO")</f>
        <v>SI</v>
      </c>
    </row>
    <row r="84" spans="1:4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115</v>
      </c>
      <c r="C84" t="str">
        <f>_xlfn.TEXTBEFORE(_xlfn.TEXTAFTER(Tabla1[[#This Row],[ENLACE]],"/",1),"/")</f>
        <v>brazil</v>
      </c>
      <c r="D84" s="8" t="str">
        <f ca="1">IF(VLOOKUP(Tabla1[[#This Row],[PAIS]],$G$2:$H$34,2)="x","SI","NO")</f>
        <v>SI</v>
      </c>
    </row>
    <row r="85" spans="1:4" x14ac:dyDescent="0.3">
      <c r="A85" t="str">
        <f>MID(Tabla1[[#This Row],[ENLACE]],FIND("~",SUBSTITUTE(Tabla1[[#This Row],[ENLACE]],"/","~",2))+1,LEN(Tabla1[[#This Row],[ENLACE]]))</f>
        <v>mirassol-fc</v>
      </c>
      <c r="B85" s="3" t="s">
        <v>116</v>
      </c>
      <c r="C85" t="str">
        <f>_xlfn.TEXTBEFORE(_xlfn.TEXTAFTER(Tabla1[[#This Row],[ENLACE]],"/",1),"/")</f>
        <v>brazil</v>
      </c>
      <c r="D85" s="8" t="str">
        <f ca="1">IF(VLOOKUP(Tabla1[[#This Row],[PAIS]],$G$2:$H$34,2)="x","SI","NO")</f>
        <v>SI</v>
      </c>
    </row>
    <row r="86" spans="1:4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117</v>
      </c>
      <c r="C86" t="str">
        <f>_xlfn.TEXTBEFORE(_xlfn.TEXTAFTER(Tabla1[[#This Row],[ENLACE]],"/",1),"/")</f>
        <v>brazil</v>
      </c>
      <c r="D86" s="8" t="str">
        <f ca="1">IF(VLOOKUP(Tabla1[[#This Row],[PAIS]],$G$2:$H$34,2)="x","SI","NO")</f>
        <v>SI</v>
      </c>
    </row>
    <row r="87" spans="1:4" x14ac:dyDescent="0.3">
      <c r="A87" t="str">
        <f>MID(Tabla1[[#This Row],[ENLACE]],FIND("~",SUBSTITUTE(Tabla1[[#This Row],[ENLACE]],"/","~",2))+1,LEN(Tabla1[[#This Row],[ENLACE]]))</f>
        <v>clube-do-remo</v>
      </c>
      <c r="B87" s="3" t="s">
        <v>583</v>
      </c>
      <c r="C87" t="str">
        <f>_xlfn.TEXTBEFORE(_xlfn.TEXTAFTER(Tabla1[[#This Row],[ENLACE]],"/",1),"/")</f>
        <v>brazil</v>
      </c>
      <c r="D87" s="8" t="str">
        <f ca="1">IF(VLOOKUP(Tabla1[[#This Row],[PAIS]],$G$2:$H$34,2)="x","SI","NO")</f>
        <v>SI</v>
      </c>
    </row>
    <row r="88" spans="1:4" x14ac:dyDescent="0.3">
      <c r="A88" t="str">
        <f>MID(Tabla1[[#This Row],[ENLACE]],FIND("~",SUBSTITUTE(Tabla1[[#This Row],[ENLACE]],"/","~",2))+1,LEN(Tabla1[[#This Row],[ENLACE]]))</f>
        <v>santos-fc</v>
      </c>
      <c r="B88" s="4" t="s">
        <v>118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SI</v>
      </c>
    </row>
    <row r="89" spans="1:4" x14ac:dyDescent="0.3">
      <c r="A89" t="str">
        <f>MID(Tabla1[[#This Row],[ENLACE]],FIND("~",SUBSTITUTE(Tabla1[[#This Row],[ENLACE]],"/","~",2))+1,LEN(Tabla1[[#This Row],[ENLACE]]))</f>
        <v>sao-paulo-fc</v>
      </c>
      <c r="B89" s="3" t="s">
        <v>119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SI</v>
      </c>
    </row>
    <row r="90" spans="1:4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120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SI</v>
      </c>
    </row>
    <row r="91" spans="1:4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121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SI</v>
      </c>
    </row>
    <row r="92" spans="1:4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122</v>
      </c>
      <c r="C92" t="str">
        <f>_xlfn.TEXTBEFORE(_xlfn.TEXTAFTER(Tabla1[[#This Row],[ENLACE]],"/",1),"/")</f>
        <v>bulgaria</v>
      </c>
      <c r="D92" s="8" t="str">
        <f ca="1">IF(VLOOKUP(Tabla1[[#This Row],[PAIS]],$G$2:$H$34,2)="x","SI","NO")</f>
        <v>NO</v>
      </c>
    </row>
    <row r="93" spans="1:4" x14ac:dyDescent="0.3">
      <c r="A93" t="str">
        <f>MID(Tabla1[[#This Row],[ENLACE]],FIND("~",SUBSTITUTE(Tabla1[[#This Row],[ENLACE]],"/","~",2))+1,LEN(Tabla1[[#This Row],[ENLACE]]))</f>
        <v>beroe</v>
      </c>
      <c r="B93" s="3" t="s">
        <v>123</v>
      </c>
      <c r="C93" t="str">
        <f>_xlfn.TEXTBEFORE(_xlfn.TEXTAFTER(Tabla1[[#This Row],[ENLACE]],"/",1),"/")</f>
        <v>bulgaria</v>
      </c>
      <c r="D93" s="8" t="str">
        <f ca="1">IF(VLOOKUP(Tabla1[[#This Row],[PAIS]],$G$2:$H$34,2)="x","SI","NO")</f>
        <v>NO</v>
      </c>
    </row>
    <row r="94" spans="1:4" x14ac:dyDescent="0.3">
      <c r="A94" t="str">
        <f>MID(Tabla1[[#This Row],[ENLACE]],FIND("~",SUBSTITUTE(Tabla1[[#This Row],[ENLACE]],"/","~",2))+1,LEN(Tabla1[[#This Row],[ENLACE]]))</f>
        <v>botev-plovdiv</v>
      </c>
      <c r="B94" s="4" t="s">
        <v>124</v>
      </c>
      <c r="C94" t="str">
        <f>_xlfn.TEXTBEFORE(_xlfn.TEXTAFTER(Tabla1[[#This Row],[ENLACE]],"/",1),"/")</f>
        <v>bulgaria</v>
      </c>
      <c r="D94" s="8" t="str">
        <f ca="1">IF(VLOOKUP(Tabla1[[#This Row],[PAIS]],$G$2:$H$34,2)="x","SI","NO")</f>
        <v>NO</v>
      </c>
    </row>
    <row r="95" spans="1:4" x14ac:dyDescent="0.3">
      <c r="A95" t="str">
        <f>MID(Tabla1[[#This Row],[ENLACE]],FIND("~",SUBSTITUTE(Tabla1[[#This Row],[ENLACE]],"/","~",2))+1,LEN(Tabla1[[#This Row],[ENLACE]]))</f>
        <v>botev-vratsa</v>
      </c>
      <c r="B95" s="3" t="s">
        <v>125</v>
      </c>
      <c r="C95" t="str">
        <f>_xlfn.TEXTBEFORE(_xlfn.TEXTAFTER(Tabla1[[#This Row],[ENLACE]],"/",1),"/")</f>
        <v>bulgaria</v>
      </c>
      <c r="D95" s="8" t="str">
        <f ca="1">IF(VLOOKUP(Tabla1[[#This Row],[PAIS]],$G$2:$H$34,2)="x","SI","NO")</f>
        <v>NO</v>
      </c>
    </row>
    <row r="96" spans="1:4" x14ac:dyDescent="0.3">
      <c r="A96" t="str">
        <f>MID(Tabla1[[#This Row],[ENLACE]],FIND("~",SUBSTITUTE(Tabla1[[#This Row],[ENLACE]],"/","~",2))+1,LEN(Tabla1[[#This Row],[ENLACE]]))</f>
        <v>cherno-more</v>
      </c>
      <c r="B96" s="4" t="s">
        <v>126</v>
      </c>
      <c r="C96" t="str">
        <f>_xlfn.TEXTBEFORE(_xlfn.TEXTAFTER(Tabla1[[#This Row],[ENLACE]],"/",1),"/")</f>
        <v>bulgaria</v>
      </c>
      <c r="D96" s="8" t="str">
        <f ca="1">IF(VLOOKUP(Tabla1[[#This Row],[PAIS]],$G$2:$H$34,2)="x","SI","NO")</f>
        <v>NO</v>
      </c>
    </row>
    <row r="97" spans="1:4" x14ac:dyDescent="0.3">
      <c r="A97" t="str">
        <f>MID(Tabla1[[#This Row],[ENLACE]],FIND("~",SUBSTITUTE(Tabla1[[#This Row],[ENLACE]],"/","~",2))+1,LEN(Tabla1[[#This Row],[ENLACE]]))</f>
        <v>fc-cska-1948-sofia</v>
      </c>
      <c r="B97" s="3" t="s">
        <v>127</v>
      </c>
      <c r="C97" t="str">
        <f>_xlfn.TEXTBEFORE(_xlfn.TEXTAFTER(Tabla1[[#This Row],[ENLACE]],"/",1),"/")</f>
        <v>bulgaria</v>
      </c>
      <c r="D97" s="8" t="str">
        <f ca="1">IF(VLOOKUP(Tabla1[[#This Row],[PAIS]],$G$2:$H$34,2)="x","SI","NO")</f>
        <v>NO</v>
      </c>
    </row>
    <row r="98" spans="1:4" x14ac:dyDescent="0.3">
      <c r="A98" t="str">
        <f>MID(Tabla1[[#This Row],[ENLACE]],FIND("~",SUBSTITUTE(Tabla1[[#This Row],[ENLACE]],"/","~",2))+1,LEN(Tabla1[[#This Row],[ENLACE]]))</f>
        <v>cska-sofia</v>
      </c>
      <c r="B98" s="4" t="s">
        <v>128</v>
      </c>
      <c r="C98" t="str">
        <f>_xlfn.TEXTBEFORE(_xlfn.TEXTAFTER(Tabla1[[#This Row],[ENLACE]],"/",1),"/")</f>
        <v>bulgaria</v>
      </c>
      <c r="D98" s="8" t="str">
        <f ca="1">IF(VLOOKUP(Tabla1[[#This Row],[PAIS]],$G$2:$H$34,2)="x","SI","NO")</f>
        <v>NO</v>
      </c>
    </row>
    <row r="99" spans="1:4" x14ac:dyDescent="0.3">
      <c r="A99" t="str">
        <f>MID(Tabla1[[#This Row],[ENLACE]],FIND("~",SUBSTITUTE(Tabla1[[#This Row],[ENLACE]],"/","~",2))+1,LEN(Tabla1[[#This Row],[ENLACE]]))</f>
        <v>fc-dobrudzha-dobrich</v>
      </c>
      <c r="B99" s="3" t="s">
        <v>129</v>
      </c>
      <c r="C99" t="str">
        <f>_xlfn.TEXTBEFORE(_xlfn.TEXTAFTER(Tabla1[[#This Row],[ENLACE]],"/",1),"/")</f>
        <v>bulgaria</v>
      </c>
      <c r="D99" s="8" t="str">
        <f ca="1">IF(VLOOKUP(Tabla1[[#This Row],[PAIS]],$G$2:$H$34,2)="x","SI","NO")</f>
        <v>NO</v>
      </c>
    </row>
    <row r="100" spans="1:4" x14ac:dyDescent="0.3">
      <c r="A100" t="str">
        <f>MID(Tabla1[[#This Row],[ENLACE]],FIND("~",SUBSTITUTE(Tabla1[[#This Row],[ENLACE]],"/","~",2))+1,LEN(Tabla1[[#This Row],[ENLACE]]))</f>
        <v>levski-sofia</v>
      </c>
      <c r="B100" s="4" t="s">
        <v>130</v>
      </c>
      <c r="C100" t="str">
        <f>_xlfn.TEXTBEFORE(_xlfn.TEXTAFTER(Tabla1[[#This Row],[ENLACE]],"/",1),"/")</f>
        <v>bulgaria</v>
      </c>
      <c r="D100" s="8" t="str">
        <f ca="1">IF(VLOOKUP(Tabla1[[#This Row],[PAIS]],$G$2:$H$34,2)="x","SI","NO")</f>
        <v>NO</v>
      </c>
    </row>
    <row r="101" spans="1:4" x14ac:dyDescent="0.3">
      <c r="A101" t="str">
        <f>MID(Tabla1[[#This Row],[ENLACE]],FIND("~",SUBSTITUTE(Tabla1[[#This Row],[ENLACE]],"/","~",2))+1,LEN(Tabla1[[#This Row],[ENLACE]]))</f>
        <v>lokomotiv-plovdiv</v>
      </c>
      <c r="B101" s="3" t="s">
        <v>131</v>
      </c>
      <c r="C101" t="str">
        <f>_xlfn.TEXTBEFORE(_xlfn.TEXTAFTER(Tabla1[[#This Row],[ENLACE]],"/",1),"/")</f>
        <v>bulgaria</v>
      </c>
      <c r="D101" s="8" t="str">
        <f ca="1">IF(VLOOKUP(Tabla1[[#This Row],[PAIS]],$G$2:$H$34,2)="x","SI","NO")</f>
        <v>NO</v>
      </c>
    </row>
    <row r="102" spans="1:4" x14ac:dyDescent="0.3">
      <c r="A102" t="str">
        <f>MID(Tabla1[[#This Row],[ENLACE]],FIND("~",SUBSTITUTE(Tabla1[[#This Row],[ENLACE]],"/","~",2))+1,LEN(Tabla1[[#This Row],[ENLACE]]))</f>
        <v>fc-lokomotiv-1929-sofia</v>
      </c>
      <c r="B102" s="4" t="s">
        <v>132</v>
      </c>
      <c r="C102" t="str">
        <f>_xlfn.TEXTBEFORE(_xlfn.TEXTAFTER(Tabla1[[#This Row],[ENLACE]],"/",1),"/")</f>
        <v>bulgaria</v>
      </c>
      <c r="D102" s="8" t="str">
        <f ca="1">IF(VLOOKUP(Tabla1[[#This Row],[PAIS]],$G$2:$H$34,2)="x","SI","NO")</f>
        <v>NO</v>
      </c>
    </row>
    <row r="103" spans="1:4" x14ac:dyDescent="0.3">
      <c r="A103" t="str">
        <f>MID(Tabla1[[#This Row],[ENLACE]],FIND("~",SUBSTITUTE(Tabla1[[#This Row],[ENLACE]],"/","~",2))+1,LEN(Tabla1[[#This Row],[ENLACE]]))</f>
        <v>ludogorets</v>
      </c>
      <c r="B103" s="3" t="s">
        <v>133</v>
      </c>
      <c r="C103" t="str">
        <f>_xlfn.TEXTBEFORE(_xlfn.TEXTAFTER(Tabla1[[#This Row],[ENLACE]],"/",1),"/")</f>
        <v>bulgaria</v>
      </c>
      <c r="D103" s="8" t="str">
        <f ca="1">IF(VLOOKUP(Tabla1[[#This Row],[PAIS]],$G$2:$H$34,2)="x","SI","NO")</f>
        <v>NO</v>
      </c>
    </row>
    <row r="104" spans="1:4" x14ac:dyDescent="0.3">
      <c r="A104" t="str">
        <f>MID(Tabla1[[#This Row],[ENLACE]],FIND("~",SUBSTITUTE(Tabla1[[#This Row],[ENLACE]],"/","~",2))+1,LEN(Tabla1[[#This Row],[ENLACE]]))</f>
        <v>fc-montana</v>
      </c>
      <c r="B104" s="4" t="s">
        <v>134</v>
      </c>
      <c r="C104" t="str">
        <f>_xlfn.TEXTBEFORE(_xlfn.TEXTAFTER(Tabla1[[#This Row],[ENLACE]],"/",1),"/")</f>
        <v>bulgaria</v>
      </c>
      <c r="D104" s="8" t="str">
        <f ca="1">IF(VLOOKUP(Tabla1[[#This Row],[PAIS]],$G$2:$H$34,2)="x","SI","NO")</f>
        <v>NO</v>
      </c>
    </row>
    <row r="105" spans="1:4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135</v>
      </c>
      <c r="C105" t="str">
        <f>_xlfn.TEXTBEFORE(_xlfn.TEXTAFTER(Tabla1[[#This Row],[ENLACE]],"/",1),"/")</f>
        <v>bulgaria</v>
      </c>
      <c r="D105" s="8" t="str">
        <f ca="1">IF(VLOOKUP(Tabla1[[#This Row],[PAIS]],$G$2:$H$34,2)="x","SI","NO")</f>
        <v>NO</v>
      </c>
    </row>
    <row r="106" spans="1:4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136</v>
      </c>
      <c r="C106" t="str">
        <f>_xlfn.TEXTBEFORE(_xlfn.TEXTAFTER(Tabla1[[#This Row],[ENLACE]],"/",1),"/")</f>
        <v>bulgaria</v>
      </c>
      <c r="D106" s="8" t="str">
        <f ca="1">IF(VLOOKUP(Tabla1[[#This Row],[PAIS]],$G$2:$H$34,2)="x","SI","NO")</f>
        <v>NO</v>
      </c>
    </row>
    <row r="107" spans="1:4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137</v>
      </c>
      <c r="C107" t="str">
        <f>_xlfn.TEXTBEFORE(_xlfn.TEXTAFTER(Tabla1[[#This Row],[ENLACE]],"/",1),"/")</f>
        <v>bulgaria</v>
      </c>
      <c r="D107" s="8" t="str">
        <f ca="1">IF(VLOOKUP(Tabla1[[#This Row],[PAIS]],$G$2:$H$34,2)="x","SI","NO")</f>
        <v>NO</v>
      </c>
    </row>
    <row r="108" spans="1:4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176</v>
      </c>
      <c r="C108" t="str">
        <f>_xlfn.TEXTBEFORE(_xlfn.TEXTAFTER(Tabla1[[#This Row],[ENLACE]],"/",1),"/")</f>
        <v>chile</v>
      </c>
      <c r="D108" s="8" t="str">
        <f ca="1">IF(VLOOKUP(Tabla1[[#This Row],[PAIS]],$G$2:$H$34,2)="x","SI","NO")</f>
        <v>SI</v>
      </c>
    </row>
    <row r="109" spans="1:4" x14ac:dyDescent="0.3">
      <c r="A109" t="str">
        <f>MID(Tabla1[[#This Row],[ENLACE]],FIND("~",SUBSTITUTE(Tabla1[[#This Row],[ENLACE]],"/","~",2))+1,LEN(Tabla1[[#This Row],[ENLACE]]))</f>
        <v>cd-cobresal</v>
      </c>
      <c r="B109" s="3" t="s">
        <v>177</v>
      </c>
      <c r="C109" t="str">
        <f>_xlfn.TEXTBEFORE(_xlfn.TEXTAFTER(Tabla1[[#This Row],[ENLACE]],"/",1),"/")</f>
        <v>chile</v>
      </c>
      <c r="D109" s="8" t="str">
        <f ca="1">IF(VLOOKUP(Tabla1[[#This Row],[PAIS]],$G$2:$H$34,2)="x","SI","NO")</f>
        <v>SI</v>
      </c>
    </row>
    <row r="110" spans="1:4" x14ac:dyDescent="0.3">
      <c r="A110" t="str">
        <f>MID(Tabla1[[#This Row],[ENLACE]],FIND("~",SUBSTITUTE(Tabla1[[#This Row],[ENLACE]],"/","~",2))+1,LEN(Tabla1[[#This Row],[ENLACE]]))</f>
        <v>colo-colo</v>
      </c>
      <c r="B110" s="4" t="s">
        <v>178</v>
      </c>
      <c r="C110" t="str">
        <f>_xlfn.TEXTBEFORE(_xlfn.TEXTAFTER(Tabla1[[#This Row],[ENLACE]],"/",1),"/")</f>
        <v>chile</v>
      </c>
      <c r="D110" s="8" t="str">
        <f ca="1">IF(VLOOKUP(Tabla1[[#This Row],[PAIS]],$G$2:$H$34,2)="x","SI","NO")</f>
        <v>SI</v>
      </c>
    </row>
    <row r="111" spans="1:4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179</v>
      </c>
      <c r="C111" t="str">
        <f>_xlfn.TEXTBEFORE(_xlfn.TEXTAFTER(Tabla1[[#This Row],[ENLACE]],"/",1),"/")</f>
        <v>chile</v>
      </c>
      <c r="D111" s="8" t="str">
        <f ca="1">IF(VLOOKUP(Tabla1[[#This Row],[PAIS]],$G$2:$H$34,2)="x","SI","NO")</f>
        <v>SI</v>
      </c>
    </row>
    <row r="112" spans="1:4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584</v>
      </c>
      <c r="C112" t="str">
        <f>_xlfn.TEXTBEFORE(_xlfn.TEXTAFTER(Tabla1[[#This Row],[ENLACE]],"/",1),"/")</f>
        <v>chile</v>
      </c>
      <c r="D112" s="8" t="str">
        <f ca="1">IF(VLOOKUP(Tabla1[[#This Row],[PAIS]],$G$2:$H$34,2)="x","SI","NO")</f>
        <v>SI</v>
      </c>
    </row>
    <row r="113" spans="1:4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180</v>
      </c>
      <c r="C113" t="str">
        <f>_xlfn.TEXTBEFORE(_xlfn.TEXTAFTER(Tabla1[[#This Row],[ENLACE]],"/",1),"/")</f>
        <v>chile</v>
      </c>
      <c r="D113" s="8" t="str">
        <f ca="1">IF(VLOOKUP(Tabla1[[#This Row],[PAIS]],$G$2:$H$34,2)="x","SI","NO")</f>
        <v>SI</v>
      </c>
    </row>
    <row r="114" spans="1:4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181</v>
      </c>
      <c r="C114" t="str">
        <f>_xlfn.TEXTBEFORE(_xlfn.TEXTAFTER(Tabla1[[#This Row],[ENLACE]],"/",1),"/")</f>
        <v>chile</v>
      </c>
      <c r="D114" s="8" t="str">
        <f ca="1">IF(VLOOKUP(Tabla1[[#This Row],[PAIS]],$G$2:$H$34,2)="x","SI","NO")</f>
        <v>SI</v>
      </c>
    </row>
    <row r="115" spans="1:4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182</v>
      </c>
      <c r="C115" t="str">
        <f>_xlfn.TEXTBEFORE(_xlfn.TEXTAFTER(Tabla1[[#This Row],[ENLACE]],"/",1),"/")</f>
        <v>chile</v>
      </c>
      <c r="D115" s="8" t="str">
        <f ca="1">IF(VLOOKUP(Tabla1[[#This Row],[PAIS]],$G$2:$H$34,2)="x","SI","NO")</f>
        <v>SI</v>
      </c>
    </row>
    <row r="116" spans="1:4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183</v>
      </c>
      <c r="C116" t="str">
        <f>_xlfn.TEXTBEFORE(_xlfn.TEXTAFTER(Tabla1[[#This Row],[ENLACE]],"/",1),"/")</f>
        <v>chile</v>
      </c>
      <c r="D116" s="8" t="str">
        <f ca="1">IF(VLOOKUP(Tabla1[[#This Row],[PAIS]],$G$2:$H$34,2)="x","SI","NO")</f>
        <v>SI</v>
      </c>
    </row>
    <row r="117" spans="1:4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184</v>
      </c>
      <c r="C117" t="str">
        <f>_xlfn.TEXTBEFORE(_xlfn.TEXTAFTER(Tabla1[[#This Row],[ENLACE]],"/",1),"/")</f>
        <v>chile</v>
      </c>
      <c r="D117" s="8" t="str">
        <f ca="1">IF(VLOOKUP(Tabla1[[#This Row],[PAIS]],$G$2:$H$34,2)="x","SI","NO")</f>
        <v>SI</v>
      </c>
    </row>
    <row r="118" spans="1:4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185</v>
      </c>
      <c r="C118" t="str">
        <f>_xlfn.TEXTBEFORE(_xlfn.TEXTAFTER(Tabla1[[#This Row],[ENLACE]],"/",1),"/")</f>
        <v>chile</v>
      </c>
      <c r="D118" s="8" t="str">
        <f ca="1">IF(VLOOKUP(Tabla1[[#This Row],[PAIS]],$G$2:$H$34,2)="x","SI","NO")</f>
        <v>SI</v>
      </c>
    </row>
    <row r="119" spans="1:4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186</v>
      </c>
      <c r="C119" t="str">
        <f>_xlfn.TEXTBEFORE(_xlfn.TEXTAFTER(Tabla1[[#This Row],[ENLACE]],"/",1),"/")</f>
        <v>chile</v>
      </c>
      <c r="D119" s="8" t="str">
        <f ca="1">IF(VLOOKUP(Tabla1[[#This Row],[PAIS]],$G$2:$H$34,2)="x","SI","NO")</f>
        <v>SI</v>
      </c>
    </row>
    <row r="120" spans="1:4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187</v>
      </c>
      <c r="C120" t="str">
        <f>_xlfn.TEXTBEFORE(_xlfn.TEXTAFTER(Tabla1[[#This Row],[ENLACE]],"/",1),"/")</f>
        <v>chile</v>
      </c>
      <c r="D120" s="8" t="str">
        <f ca="1">IF(VLOOKUP(Tabla1[[#This Row],[PAIS]],$G$2:$H$34,2)="x","SI","NO")</f>
        <v>SI</v>
      </c>
    </row>
    <row r="121" spans="1:4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188</v>
      </c>
      <c r="C121" t="str">
        <f>_xlfn.TEXTBEFORE(_xlfn.TEXTAFTER(Tabla1[[#This Row],[ENLACE]],"/",1),"/")</f>
        <v>chile</v>
      </c>
      <c r="D121" s="8" t="str">
        <f ca="1">IF(VLOOKUP(Tabla1[[#This Row],[PAIS]],$G$2:$H$34,2)="x","SI","NO")</f>
        <v>SI</v>
      </c>
    </row>
    <row r="122" spans="1:4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189</v>
      </c>
      <c r="C122" t="str">
        <f>_xlfn.TEXTBEFORE(_xlfn.TEXTAFTER(Tabla1[[#This Row],[ENLACE]],"/",1),"/")</f>
        <v>chile</v>
      </c>
      <c r="D122" s="8" t="str">
        <f ca="1">IF(VLOOKUP(Tabla1[[#This Row],[PAIS]],$G$2:$H$34,2)="x","SI","NO")</f>
        <v>SI</v>
      </c>
    </row>
    <row r="123" spans="1:4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585</v>
      </c>
      <c r="C123" t="str">
        <f>_xlfn.TEXTBEFORE(_xlfn.TEXTAFTER(Tabla1[[#This Row],[ENLACE]],"/",1),"/")</f>
        <v>chile</v>
      </c>
      <c r="D123" s="8" t="str">
        <f ca="1">IF(VLOOKUP(Tabla1[[#This Row],[PAIS]],$G$2:$H$34,2)="x","SI","NO")</f>
        <v>SI</v>
      </c>
    </row>
    <row r="124" spans="1:4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s="8" t="str">
        <f ca="1">IF(VLOOKUP(Tabla1[[#This Row],[PAIS]],$G$2:$H$34,2)="x","SI","NO")</f>
        <v>SI</v>
      </c>
    </row>
    <row r="125" spans="1:4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s="8" t="str">
        <f ca="1">IF(VLOOKUP(Tabla1[[#This Row],[PAIS]],$G$2:$H$34,2)="x","SI","NO")</f>
        <v>SI</v>
      </c>
    </row>
    <row r="126" spans="1:4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s="8" t="str">
        <f ca="1">IF(VLOOKUP(Tabla1[[#This Row],[PAIS]],$G$2:$H$34,2)="x","SI","NO")</f>
        <v>SI</v>
      </c>
    </row>
    <row r="127" spans="1:4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s="8" t="str">
        <f ca="1">IF(VLOOKUP(Tabla1[[#This Row],[PAIS]],$G$2:$H$34,2)="x","SI","NO")</f>
        <v>SI</v>
      </c>
    </row>
    <row r="128" spans="1:4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s="8" t="str">
        <f ca="1">IF(VLOOKUP(Tabla1[[#This Row],[PAIS]],$G$2:$H$34,2)="x","SI","NO")</f>
        <v>SI</v>
      </c>
    </row>
    <row r="129" spans="1:4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s="8" t="str">
        <f ca="1">IF(VLOOKUP(Tabla1[[#This Row],[PAIS]],$G$2:$H$34,2)="x","SI","NO")</f>
        <v>SI</v>
      </c>
    </row>
    <row r="130" spans="1:4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577</v>
      </c>
      <c r="C130" t="str">
        <f>_xlfn.TEXTBEFORE(_xlfn.TEXTAFTER(Tabla1[[#This Row],[ENLACE]],"/",1),"/")</f>
        <v>colombia</v>
      </c>
      <c r="D130" s="8" t="str">
        <f ca="1">IF(VLOOKUP(Tabla1[[#This Row],[PAIS]],$G$2:$H$34,2)="x","SI","NO")</f>
        <v>SI</v>
      </c>
    </row>
    <row r="131" spans="1:4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s="8" t="str">
        <f ca="1">IF(VLOOKUP(Tabla1[[#This Row],[PAIS]],$G$2:$H$34,2)="x","SI","NO")</f>
        <v>SI</v>
      </c>
    </row>
    <row r="132" spans="1:4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s="8" t="str">
        <f ca="1">IF(VLOOKUP(Tabla1[[#This Row],[PAIS]],$G$2:$H$34,2)="x","SI","NO")</f>
        <v>SI</v>
      </c>
    </row>
    <row r="133" spans="1:4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s="8" t="str">
        <f ca="1">IF(VLOOKUP(Tabla1[[#This Row],[PAIS]],$G$2:$H$34,2)="x","SI","NO")</f>
        <v>SI</v>
      </c>
    </row>
    <row r="134" spans="1:4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578</v>
      </c>
      <c r="C134" t="str">
        <f>_xlfn.TEXTBEFORE(_xlfn.TEXTAFTER(Tabla1[[#This Row],[ENLACE]],"/",1),"/")</f>
        <v>colombia</v>
      </c>
      <c r="D134" s="8" t="str">
        <f ca="1">IF(VLOOKUP(Tabla1[[#This Row],[PAIS]],$G$2:$H$34,2)="x","SI","NO")</f>
        <v>SI</v>
      </c>
    </row>
    <row r="135" spans="1:4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579</v>
      </c>
      <c r="C135" t="str">
        <f>_xlfn.TEXTBEFORE(_xlfn.TEXTAFTER(Tabla1[[#This Row],[ENLACE]],"/",1),"/")</f>
        <v>colombia</v>
      </c>
      <c r="D135" s="8" t="str">
        <f ca="1">IF(VLOOKUP(Tabla1[[#This Row],[PAIS]],$G$2:$H$34,2)="x","SI","NO")</f>
        <v>SI</v>
      </c>
    </row>
    <row r="136" spans="1:4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s="8" t="str">
        <f ca="1">IF(VLOOKUP(Tabla1[[#This Row],[PAIS]],$G$2:$H$34,2)="x","SI","NO")</f>
        <v>SI</v>
      </c>
    </row>
    <row r="137" spans="1:4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s="8" t="str">
        <f ca="1">IF(VLOOKUP(Tabla1[[#This Row],[PAIS]],$G$2:$H$34,2)="x","SI","NO")</f>
        <v>SI</v>
      </c>
    </row>
    <row r="138" spans="1:4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s="8" t="str">
        <f ca="1">IF(VLOOKUP(Tabla1[[#This Row],[PAIS]],$G$2:$H$34,2)="x","SI","NO")</f>
        <v>SI</v>
      </c>
    </row>
    <row r="139" spans="1:4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s="8" t="str">
        <f ca="1">IF(VLOOKUP(Tabla1[[#This Row],[PAIS]],$G$2:$H$34,2)="x","SI","NO")</f>
        <v>SI</v>
      </c>
    </row>
    <row r="140" spans="1:4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SI</v>
      </c>
    </row>
    <row r="141" spans="1:4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SI</v>
      </c>
    </row>
    <row r="142" spans="1:4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SI</v>
      </c>
    </row>
    <row r="143" spans="1:4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SI</v>
      </c>
    </row>
    <row r="144" spans="1:4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166</v>
      </c>
      <c r="C144" t="str">
        <f>_xlfn.TEXTBEFORE(_xlfn.TEXTAFTER(Tabla1[[#This Row],[ENLACE]],"/",1),"/")</f>
        <v>croatia</v>
      </c>
      <c r="D144" s="8" t="str">
        <f ca="1">IF(VLOOKUP(Tabla1[[#This Row],[PAIS]],$G$2:$H$34,2)="x","SI","NO")</f>
        <v>SI</v>
      </c>
    </row>
    <row r="145" spans="1:4" x14ac:dyDescent="0.3">
      <c r="A145" t="str">
        <f>MID(Tabla1[[#This Row],[ENLACE]],FIND("~",SUBSTITUTE(Tabla1[[#This Row],[ENLACE]],"/","~",2))+1,LEN(Tabla1[[#This Row],[ENLACE]]))</f>
        <v>gorica</v>
      </c>
      <c r="B145" s="3" t="s">
        <v>167</v>
      </c>
      <c r="C145" t="str">
        <f>_xlfn.TEXTBEFORE(_xlfn.TEXTAFTER(Tabla1[[#This Row],[ENLACE]],"/",1),"/")</f>
        <v>croatia</v>
      </c>
      <c r="D145" s="8" t="str">
        <f ca="1">IF(VLOOKUP(Tabla1[[#This Row],[PAIS]],$G$2:$H$34,2)="x","SI","NO")</f>
        <v>SI</v>
      </c>
    </row>
    <row r="146" spans="1:4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168</v>
      </c>
      <c r="C146" t="str">
        <f>_xlfn.TEXTBEFORE(_xlfn.TEXTAFTER(Tabla1[[#This Row],[ENLACE]],"/",1),"/")</f>
        <v>croatia</v>
      </c>
      <c r="D146" s="8" t="str">
        <f ca="1">IF(VLOOKUP(Tabla1[[#This Row],[PAIS]],$G$2:$H$34,2)="x","SI","NO")</f>
        <v>SI</v>
      </c>
    </row>
    <row r="147" spans="1:4" x14ac:dyDescent="0.3">
      <c r="A147" t="str">
        <f>MID(Tabla1[[#This Row],[ENLACE]],FIND("~",SUBSTITUTE(Tabla1[[#This Row],[ENLACE]],"/","~",2))+1,LEN(Tabla1[[#This Row],[ENLACE]]))</f>
        <v>istra-1961</v>
      </c>
      <c r="B147" s="3" t="s">
        <v>169</v>
      </c>
      <c r="C147" t="str">
        <f>_xlfn.TEXTBEFORE(_xlfn.TEXTAFTER(Tabla1[[#This Row],[ENLACE]],"/",1),"/")</f>
        <v>croatia</v>
      </c>
      <c r="D147" s="8" t="str">
        <f ca="1">IF(VLOOKUP(Tabla1[[#This Row],[PAIS]],$G$2:$H$34,2)="x","SI","NO")</f>
        <v>SI</v>
      </c>
    </row>
    <row r="148" spans="1:4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170</v>
      </c>
      <c r="C148" t="str">
        <f>_xlfn.TEXTBEFORE(_xlfn.TEXTAFTER(Tabla1[[#This Row],[ENLACE]],"/",1),"/")</f>
        <v>croatia</v>
      </c>
      <c r="D148" s="8" t="str">
        <f ca="1">IF(VLOOKUP(Tabla1[[#This Row],[PAIS]],$G$2:$H$34,2)="x","SI","NO")</f>
        <v>SI</v>
      </c>
    </row>
    <row r="149" spans="1:4" x14ac:dyDescent="0.3">
      <c r="A149" t="str">
        <f>MID(Tabla1[[#This Row],[ENLACE]],FIND("~",SUBSTITUTE(Tabla1[[#This Row],[ENLACE]],"/","~",2))+1,LEN(Tabla1[[#This Row],[ENLACE]]))</f>
        <v>osijek</v>
      </c>
      <c r="B149" s="3" t="s">
        <v>171</v>
      </c>
      <c r="C149" t="str">
        <f>_xlfn.TEXTBEFORE(_xlfn.TEXTAFTER(Tabla1[[#This Row],[ENLACE]],"/",1),"/")</f>
        <v>croatia</v>
      </c>
      <c r="D149" s="8" t="str">
        <f ca="1">IF(VLOOKUP(Tabla1[[#This Row],[PAIS]],$G$2:$H$34,2)="x","SI","NO")</f>
        <v>SI</v>
      </c>
    </row>
    <row r="150" spans="1:4" x14ac:dyDescent="0.3">
      <c r="A150" t="str">
        <f>MID(Tabla1[[#This Row],[ENLACE]],FIND("~",SUBSTITUTE(Tabla1[[#This Row],[ENLACE]],"/","~",2))+1,LEN(Tabla1[[#This Row],[ENLACE]]))</f>
        <v>rijeka</v>
      </c>
      <c r="B150" s="4" t="s">
        <v>172</v>
      </c>
      <c r="C150" t="str">
        <f>_xlfn.TEXTBEFORE(_xlfn.TEXTAFTER(Tabla1[[#This Row],[ENLACE]],"/",1),"/")</f>
        <v>croatia</v>
      </c>
      <c r="D150" s="8" t="str">
        <f ca="1">IF(VLOOKUP(Tabla1[[#This Row],[PAIS]],$G$2:$H$34,2)="x","SI","NO")</f>
        <v>SI</v>
      </c>
    </row>
    <row r="151" spans="1:4" x14ac:dyDescent="0.3">
      <c r="A151" t="str">
        <f>MID(Tabla1[[#This Row],[ENLACE]],FIND("~",SUBSTITUTE(Tabla1[[#This Row],[ENLACE]],"/","~",2))+1,LEN(Tabla1[[#This Row],[ENLACE]]))</f>
        <v>slaven-belupo</v>
      </c>
      <c r="B151" s="3" t="s">
        <v>173</v>
      </c>
      <c r="C151" t="str">
        <f>_xlfn.TEXTBEFORE(_xlfn.TEXTAFTER(Tabla1[[#This Row],[ENLACE]],"/",1),"/")</f>
        <v>croatia</v>
      </c>
      <c r="D151" s="8" t="str">
        <f ca="1">IF(VLOOKUP(Tabla1[[#This Row],[PAIS]],$G$2:$H$34,2)="x","SI","NO")</f>
        <v>SI</v>
      </c>
    </row>
    <row r="152" spans="1:4" x14ac:dyDescent="0.3">
      <c r="A152" t="str">
        <f>MID(Tabla1[[#This Row],[ENLACE]],FIND("~",SUBSTITUTE(Tabla1[[#This Row],[ENLACE]],"/","~",2))+1,LEN(Tabla1[[#This Row],[ENLACE]]))</f>
        <v>varazdin</v>
      </c>
      <c r="B152" s="4" t="s">
        <v>174</v>
      </c>
      <c r="C152" t="str">
        <f>_xlfn.TEXTBEFORE(_xlfn.TEXTAFTER(Tabla1[[#This Row],[ENLACE]],"/",1),"/")</f>
        <v>croatia</v>
      </c>
      <c r="D152" s="8" t="str">
        <f ca="1">IF(VLOOKUP(Tabla1[[#This Row],[PAIS]],$G$2:$H$34,2)="x","SI","NO")</f>
        <v>SI</v>
      </c>
    </row>
    <row r="153" spans="1:4" x14ac:dyDescent="0.3">
      <c r="A153" t="str">
        <f>MID(Tabla1[[#This Row],[ENLACE]],FIND("~",SUBSTITUTE(Tabla1[[#This Row],[ENLACE]],"/","~",2))+1,LEN(Tabla1[[#This Row],[ENLACE]]))</f>
        <v>hnk-vukovar-1991</v>
      </c>
      <c r="B153" s="3" t="s">
        <v>175</v>
      </c>
      <c r="C153" t="str">
        <f>_xlfn.TEXTBEFORE(_xlfn.TEXTAFTER(Tabla1[[#This Row],[ENLACE]],"/",1),"/")</f>
        <v>croatia</v>
      </c>
      <c r="D153" s="8" t="str">
        <f ca="1">IF(VLOOKUP(Tabla1[[#This Row],[PAIS]],$G$2:$H$34,2)="x","SI","NO")</f>
        <v>SI</v>
      </c>
    </row>
    <row r="154" spans="1:4" x14ac:dyDescent="0.3">
      <c r="A154" t="str">
        <f>MID(Tabla1[[#This Row],[ENLACE]],FIND("~",SUBSTITUTE(Tabla1[[#This Row],[ENLACE]],"/","~",2))+1,LEN(Tabla1[[#This Row],[ENLACE]]))</f>
        <v>bohemians-1905</v>
      </c>
      <c r="B154" s="4" t="s">
        <v>190</v>
      </c>
      <c r="C154" t="str">
        <f>_xlfn.TEXTBEFORE(_xlfn.TEXTAFTER(Tabla1[[#This Row],[ENLACE]],"/",1),"/")</f>
        <v>czech-republic</v>
      </c>
      <c r="D154" s="8" t="str">
        <f ca="1">IF(VLOOKUP(Tabla1[[#This Row],[PAIS]],$G$2:$H$34,2)="x","SI","NO")</f>
        <v>SI</v>
      </c>
    </row>
    <row r="155" spans="1:4" x14ac:dyDescent="0.3">
      <c r="A155" t="str">
        <f>MID(Tabla1[[#This Row],[ENLACE]],FIND("~",SUBSTITUTE(Tabla1[[#This Row],[ENLACE]],"/","~",2))+1,LEN(Tabla1[[#This Row],[ENLACE]]))</f>
        <v>fk-dukla-prague</v>
      </c>
      <c r="B155" s="3" t="s">
        <v>191</v>
      </c>
      <c r="C155" t="str">
        <f>_xlfn.TEXTBEFORE(_xlfn.TEXTAFTER(Tabla1[[#This Row],[ENLACE]],"/",1),"/")</f>
        <v>czech-republic</v>
      </c>
      <c r="D155" s="8" t="str">
        <f ca="1">IF(VLOOKUP(Tabla1[[#This Row],[PAIS]],$G$2:$H$34,2)="x","SI","NO")</f>
        <v>SI</v>
      </c>
    </row>
    <row r="156" spans="1:4" x14ac:dyDescent="0.3">
      <c r="A156" t="str">
        <f>MID(Tabla1[[#This Row],[ENLACE]],FIND("~",SUBSTITUTE(Tabla1[[#This Row],[ENLACE]],"/","~",2))+1,LEN(Tabla1[[#This Row],[ENLACE]]))</f>
        <v>fc-hradec-kralove</v>
      </c>
      <c r="B156" s="2" t="s">
        <v>192</v>
      </c>
      <c r="C156" t="str">
        <f>_xlfn.TEXTBEFORE(_xlfn.TEXTAFTER(Tabla1[[#This Row],[ENLACE]],"/",1),"/")</f>
        <v>czech-republic</v>
      </c>
      <c r="D156" s="8" t="str">
        <f ca="1">IF(VLOOKUP(Tabla1[[#This Row],[PAIS]],$G$2:$H$34,2)="x","SI","NO")</f>
        <v>SI</v>
      </c>
    </row>
    <row r="157" spans="1:4" x14ac:dyDescent="0.3">
      <c r="A157" t="str">
        <f>MID(Tabla1[[#This Row],[ENLACE]],FIND("~",SUBSTITUTE(Tabla1[[#This Row],[ENLACE]],"/","~",2))+1,LEN(Tabla1[[#This Row],[ENLACE]]))</f>
        <v>fk-jablonec</v>
      </c>
      <c r="B157" s="5" t="s">
        <v>193</v>
      </c>
      <c r="C157" t="str">
        <f>_xlfn.TEXTBEFORE(_xlfn.TEXTAFTER(Tabla1[[#This Row],[ENLACE]],"/",1),"/")</f>
        <v>czech-republic</v>
      </c>
      <c r="D157" s="8" t="str">
        <f ca="1">IF(VLOOKUP(Tabla1[[#This Row],[PAIS]],$G$2:$H$34,2)="x","SI","NO")</f>
        <v>SI</v>
      </c>
    </row>
    <row r="158" spans="1:4" x14ac:dyDescent="0.3">
      <c r="A158" t="str">
        <f>MID(Tabla1[[#This Row],[ENLACE]],FIND("~",SUBSTITUTE(Tabla1[[#This Row],[ENLACE]],"/","~",2))+1,LEN(Tabla1[[#This Row],[ENLACE]]))</f>
        <v>mfk-karvina</v>
      </c>
      <c r="B158" s="2" t="s">
        <v>194</v>
      </c>
      <c r="C158" t="str">
        <f>_xlfn.TEXTBEFORE(_xlfn.TEXTAFTER(Tabla1[[#This Row],[ENLACE]],"/",1),"/")</f>
        <v>czech-republic</v>
      </c>
      <c r="D158" s="8" t="str">
        <f ca="1">IF(VLOOKUP(Tabla1[[#This Row],[PAIS]],$G$2:$H$34,2)="x","SI","NO")</f>
        <v>SI</v>
      </c>
    </row>
    <row r="159" spans="1:4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195</v>
      </c>
      <c r="C159" t="str">
        <f>_xlfn.TEXTBEFORE(_xlfn.TEXTAFTER(Tabla1[[#This Row],[ENLACE]],"/",1),"/")</f>
        <v>czech-republic</v>
      </c>
      <c r="D159" s="8" t="str">
        <f ca="1">IF(VLOOKUP(Tabla1[[#This Row],[PAIS]],$G$2:$H$34,2)="x","SI","NO")</f>
        <v>SI</v>
      </c>
    </row>
    <row r="160" spans="1:4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196</v>
      </c>
      <c r="C160" t="str">
        <f>_xlfn.TEXTBEFORE(_xlfn.TEXTAFTER(Tabla1[[#This Row],[ENLACE]],"/",1),"/")</f>
        <v>czech-republic</v>
      </c>
      <c r="D160" s="8" t="str">
        <f ca="1">IF(VLOOKUP(Tabla1[[#This Row],[PAIS]],$G$2:$H$34,2)="x","SI","NO")</f>
        <v>SI</v>
      </c>
    </row>
    <row r="161" spans="1:4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197</v>
      </c>
      <c r="C161" t="str">
        <f>_xlfn.TEXTBEFORE(_xlfn.TEXTAFTER(Tabla1[[#This Row],[ENLACE]],"/",1),"/")</f>
        <v>czech-republic</v>
      </c>
      <c r="D161" s="8" t="str">
        <f ca="1">IF(VLOOKUP(Tabla1[[#This Row],[PAIS]],$G$2:$H$34,2)="x","SI","NO")</f>
        <v>SI</v>
      </c>
    </row>
    <row r="162" spans="1:4" x14ac:dyDescent="0.3">
      <c r="A162" t="str">
        <f>MID(Tabla1[[#This Row],[ENLACE]],FIND("~",SUBSTITUTE(Tabla1[[#This Row],[ENLACE]],"/","~",2))+1,LEN(Tabla1[[#This Row],[ENLACE]]))</f>
        <v>fk-pardubice</v>
      </c>
      <c r="B162" s="2" t="s">
        <v>198</v>
      </c>
      <c r="C162" t="str">
        <f>_xlfn.TEXTBEFORE(_xlfn.TEXTAFTER(Tabla1[[#This Row],[ENLACE]],"/",1),"/")</f>
        <v>czech-republic</v>
      </c>
      <c r="D162" s="8" t="str">
        <f ca="1">IF(VLOOKUP(Tabla1[[#This Row],[PAIS]],$G$2:$H$34,2)="x","SI","NO")</f>
        <v>SI</v>
      </c>
    </row>
    <row r="163" spans="1:4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199</v>
      </c>
      <c r="C163" t="str">
        <f>_xlfn.TEXTBEFORE(_xlfn.TEXTAFTER(Tabla1[[#This Row],[ENLACE]],"/",1),"/")</f>
        <v>czech-republic</v>
      </c>
      <c r="D163" s="8" t="str">
        <f ca="1">IF(VLOOKUP(Tabla1[[#This Row],[PAIS]],$G$2:$H$34,2)="x","SI","NO")</f>
        <v>SI</v>
      </c>
    </row>
    <row r="164" spans="1:4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200</v>
      </c>
      <c r="C164" t="str">
        <f>_xlfn.TEXTBEFORE(_xlfn.TEXTAFTER(Tabla1[[#This Row],[ENLACE]],"/",1),"/")</f>
        <v>czech-republic</v>
      </c>
      <c r="D164" s="8" t="str">
        <f ca="1">IF(VLOOKUP(Tabla1[[#This Row],[PAIS]],$G$2:$H$34,2)="x","SI","NO")</f>
        <v>SI</v>
      </c>
    </row>
    <row r="165" spans="1:4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201</v>
      </c>
      <c r="C165" t="str">
        <f>_xlfn.TEXTBEFORE(_xlfn.TEXTAFTER(Tabla1[[#This Row],[ENLACE]],"/",1),"/")</f>
        <v>czech-republic</v>
      </c>
      <c r="D165" s="8" t="str">
        <f ca="1">IF(VLOOKUP(Tabla1[[#This Row],[PAIS]],$G$2:$H$34,2)="x","SI","NO")</f>
        <v>SI</v>
      </c>
    </row>
    <row r="166" spans="1:4" x14ac:dyDescent="0.3">
      <c r="A166" t="str">
        <f>MID(Tabla1[[#This Row],[ENLACE]],FIND("~",SUBSTITUTE(Tabla1[[#This Row],[ENLACE]],"/","~",2))+1,LEN(Tabla1[[#This Row],[ENLACE]]))</f>
        <v>fc-slovacko</v>
      </c>
      <c r="B166" s="2" t="s">
        <v>202</v>
      </c>
      <c r="C166" t="str">
        <f>_xlfn.TEXTBEFORE(_xlfn.TEXTAFTER(Tabla1[[#This Row],[ENLACE]],"/",1),"/")</f>
        <v>czech-republic</v>
      </c>
      <c r="D166" s="8" t="str">
        <f ca="1">IF(VLOOKUP(Tabla1[[#This Row],[PAIS]],$G$2:$H$34,2)="x","SI","NO")</f>
        <v>SI</v>
      </c>
    </row>
    <row r="167" spans="1:4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203</v>
      </c>
      <c r="C167" t="str">
        <f>_xlfn.TEXTBEFORE(_xlfn.TEXTAFTER(Tabla1[[#This Row],[ENLACE]],"/",1),"/")</f>
        <v>czech-republic</v>
      </c>
      <c r="D167" s="8" t="str">
        <f ca="1">IF(VLOOKUP(Tabla1[[#This Row],[PAIS]],$G$2:$H$34,2)="x","SI","NO")</f>
        <v>SI</v>
      </c>
    </row>
    <row r="168" spans="1:4" x14ac:dyDescent="0.3">
      <c r="A168" t="str">
        <f>MID(Tabla1[[#This Row],[ENLACE]],FIND("~",SUBSTITUTE(Tabla1[[#This Row],[ENLACE]],"/","~",2))+1,LEN(Tabla1[[#This Row],[ENLACE]]))</f>
        <v>fk-teplice</v>
      </c>
      <c r="B168" s="2" t="s">
        <v>204</v>
      </c>
      <c r="C168" t="str">
        <f>_xlfn.TEXTBEFORE(_xlfn.TEXTAFTER(Tabla1[[#This Row],[ENLACE]],"/",1),"/")</f>
        <v>czech-republic</v>
      </c>
      <c r="D168" s="8" t="str">
        <f ca="1">IF(VLOOKUP(Tabla1[[#This Row],[PAIS]],$G$2:$H$34,2)="x","SI","NO")</f>
        <v>SI</v>
      </c>
    </row>
    <row r="169" spans="1:4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205</v>
      </c>
      <c r="C169" t="str">
        <f>_xlfn.TEXTBEFORE(_xlfn.TEXTAFTER(Tabla1[[#This Row],[ENLACE]],"/",1),"/")</f>
        <v>czech-republic</v>
      </c>
      <c r="D169" s="8" t="str">
        <f ca="1">IF(VLOOKUP(Tabla1[[#This Row],[PAIS]],$G$2:$H$34,2)="x","SI","NO")</f>
        <v>SI</v>
      </c>
    </row>
    <row r="170" spans="1:4" x14ac:dyDescent="0.3">
      <c r="A170" t="str">
        <f>MID(Tabla1[[#This Row],[ENLACE]],FIND("~",SUBSTITUTE(Tabla1[[#This Row],[ENLACE]],"/","~",2))+1,LEN(Tabla1[[#This Row],[ENLACE]]))</f>
        <v>aarhus</v>
      </c>
      <c r="B170" s="2" t="s">
        <v>206</v>
      </c>
      <c r="C170" t="str">
        <f>_xlfn.TEXTBEFORE(_xlfn.TEXTAFTER(Tabla1[[#This Row],[ENLACE]],"/",1),"/")</f>
        <v>denmark</v>
      </c>
      <c r="D170" s="8" t="str">
        <f ca="1">IF(VLOOKUP(Tabla1[[#This Row],[PAIS]],$G$2:$H$34,2)="x","SI","NO")</f>
        <v>SI</v>
      </c>
    </row>
    <row r="171" spans="1:4" x14ac:dyDescent="0.3">
      <c r="A171" t="str">
        <f>MID(Tabla1[[#This Row],[ENLACE]],FIND("~",SUBSTITUTE(Tabla1[[#This Row],[ENLACE]],"/","~",2))+1,LEN(Tabla1[[#This Row],[ENLACE]]))</f>
        <v>brondby</v>
      </c>
      <c r="B171" s="5" t="s">
        <v>207</v>
      </c>
      <c r="C171" t="str">
        <f>_xlfn.TEXTBEFORE(_xlfn.TEXTAFTER(Tabla1[[#This Row],[ENLACE]],"/",1),"/")</f>
        <v>denmark</v>
      </c>
      <c r="D171" s="8" t="str">
        <f ca="1">IF(VLOOKUP(Tabla1[[#This Row],[PAIS]],$G$2:$H$34,2)="x","SI","NO")</f>
        <v>SI</v>
      </c>
    </row>
    <row r="172" spans="1:4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208</v>
      </c>
      <c r="C172" t="str">
        <f>_xlfn.TEXTBEFORE(_xlfn.TEXTAFTER(Tabla1[[#This Row],[ENLACE]],"/",1),"/")</f>
        <v>denmark</v>
      </c>
      <c r="D172" s="8" t="str">
        <f ca="1">IF(VLOOKUP(Tabla1[[#This Row],[PAIS]],$G$2:$H$34,2)="x","SI","NO")</f>
        <v>SI</v>
      </c>
    </row>
    <row r="173" spans="1:4" x14ac:dyDescent="0.3">
      <c r="A173" t="str">
        <f>MID(Tabla1[[#This Row],[ENLACE]],FIND("~",SUBSTITUTE(Tabla1[[#This Row],[ENLACE]],"/","~",2))+1,LEN(Tabla1[[#This Row],[ENLACE]]))</f>
        <v>fc-fredericia</v>
      </c>
      <c r="B173" s="5" t="s">
        <v>209</v>
      </c>
      <c r="C173" t="str">
        <f>_xlfn.TEXTBEFORE(_xlfn.TEXTAFTER(Tabla1[[#This Row],[ENLACE]],"/",1),"/")</f>
        <v>denmark</v>
      </c>
      <c r="D173" s="8" t="str">
        <f ca="1">IF(VLOOKUP(Tabla1[[#This Row],[PAIS]],$G$2:$H$34,2)="x","SI","NO")</f>
        <v>SI</v>
      </c>
    </row>
    <row r="174" spans="1:4" x14ac:dyDescent="0.3">
      <c r="A174" t="str">
        <f>MID(Tabla1[[#This Row],[ENLACE]],FIND("~",SUBSTITUTE(Tabla1[[#This Row],[ENLACE]],"/","~",2))+1,LEN(Tabla1[[#This Row],[ENLACE]]))</f>
        <v>fc-midtjylland</v>
      </c>
      <c r="B174" s="2" t="s">
        <v>210</v>
      </c>
      <c r="C174" t="str">
        <f>_xlfn.TEXTBEFORE(_xlfn.TEXTAFTER(Tabla1[[#This Row],[ENLACE]],"/",1),"/")</f>
        <v>denmark</v>
      </c>
      <c r="D174" s="8" t="str">
        <f ca="1">IF(VLOOKUP(Tabla1[[#This Row],[PAIS]],$G$2:$H$34,2)="x","SI","NO")</f>
        <v>SI</v>
      </c>
    </row>
    <row r="175" spans="1:4" x14ac:dyDescent="0.3">
      <c r="A175" t="str">
        <f>MID(Tabla1[[#This Row],[ENLACE]],FIND("~",SUBSTITUTE(Tabla1[[#This Row],[ENLACE]],"/","~",2))+1,LEN(Tabla1[[#This Row],[ENLACE]]))</f>
        <v>fc-nordsjaelland</v>
      </c>
      <c r="B175" s="5" t="s">
        <v>211</v>
      </c>
      <c r="C175" t="str">
        <f>_xlfn.TEXTBEFORE(_xlfn.TEXTAFTER(Tabla1[[#This Row],[ENLACE]],"/",1),"/")</f>
        <v>denmark</v>
      </c>
      <c r="D175" s="8" t="str">
        <f ca="1">IF(VLOOKUP(Tabla1[[#This Row],[PAIS]],$G$2:$H$34,2)="x","SI","NO")</f>
        <v>SI</v>
      </c>
    </row>
    <row r="176" spans="1:4" x14ac:dyDescent="0.3">
      <c r="A176" t="str">
        <f>MID(Tabla1[[#This Row],[ENLACE]],FIND("~",SUBSTITUTE(Tabla1[[#This Row],[ENLACE]],"/","~",2))+1,LEN(Tabla1[[#This Row],[ENLACE]]))</f>
        <v>odense-boldklub</v>
      </c>
      <c r="B176" s="2" t="s">
        <v>212</v>
      </c>
      <c r="C176" t="str">
        <f>_xlfn.TEXTBEFORE(_xlfn.TEXTAFTER(Tabla1[[#This Row],[ENLACE]],"/",1),"/")</f>
        <v>denmark</v>
      </c>
      <c r="D176" s="8" t="str">
        <f ca="1">IF(VLOOKUP(Tabla1[[#This Row],[PAIS]],$G$2:$H$34,2)="x","SI","NO")</f>
        <v>SI</v>
      </c>
    </row>
    <row r="177" spans="1:4" x14ac:dyDescent="0.3">
      <c r="A177" t="str">
        <f>MID(Tabla1[[#This Row],[ENLACE]],FIND("~",SUBSTITUTE(Tabla1[[#This Row],[ENLACE]],"/","~",2))+1,LEN(Tabla1[[#This Row],[ENLACE]]))</f>
        <v>randers-fc</v>
      </c>
      <c r="B177" s="5" t="s">
        <v>213</v>
      </c>
      <c r="C177" t="str">
        <f>_xlfn.TEXTBEFORE(_xlfn.TEXTAFTER(Tabla1[[#This Row],[ENLACE]],"/",1),"/")</f>
        <v>denmark</v>
      </c>
      <c r="D177" s="8" t="str">
        <f ca="1">IF(VLOOKUP(Tabla1[[#This Row],[PAIS]],$G$2:$H$34,2)="x","SI","NO")</f>
        <v>SI</v>
      </c>
    </row>
    <row r="178" spans="1:4" x14ac:dyDescent="0.3">
      <c r="A178" t="str">
        <f>MID(Tabla1[[#This Row],[ENLACE]],FIND("~",SUBSTITUTE(Tabla1[[#This Row],[ENLACE]],"/","~",2))+1,LEN(Tabla1[[#This Row],[ENLACE]]))</f>
        <v>silkeborg-if</v>
      </c>
      <c r="B178" s="2" t="s">
        <v>214</v>
      </c>
      <c r="C178" t="str">
        <f>_xlfn.TEXTBEFORE(_xlfn.TEXTAFTER(Tabla1[[#This Row],[ENLACE]],"/",1),"/")</f>
        <v>denmark</v>
      </c>
      <c r="D178" s="8" t="str">
        <f ca="1">IF(VLOOKUP(Tabla1[[#This Row],[PAIS]],$G$2:$H$34,2)="x","SI","NO")</f>
        <v>SI</v>
      </c>
    </row>
    <row r="179" spans="1:4" x14ac:dyDescent="0.3">
      <c r="A179" t="str">
        <f>MID(Tabla1[[#This Row],[ENLACE]],FIND("~",SUBSTITUTE(Tabla1[[#This Row],[ENLACE]],"/","~",2))+1,LEN(Tabla1[[#This Row],[ENLACE]]))</f>
        <v>sonderjyske</v>
      </c>
      <c r="B179" s="5" t="s">
        <v>215</v>
      </c>
      <c r="C179" t="str">
        <f>_xlfn.TEXTBEFORE(_xlfn.TEXTAFTER(Tabla1[[#This Row],[ENLACE]],"/",1),"/")</f>
        <v>denmark</v>
      </c>
      <c r="D179" s="8" t="str">
        <f ca="1">IF(VLOOKUP(Tabla1[[#This Row],[PAIS]],$G$2:$H$34,2)="x","SI","NO")</f>
        <v>SI</v>
      </c>
    </row>
    <row r="180" spans="1:4" x14ac:dyDescent="0.3">
      <c r="A180" t="str">
        <f>MID(Tabla1[[#This Row],[ENLACE]],FIND("~",SUBSTITUTE(Tabla1[[#This Row],[ENLACE]],"/","~",2))+1,LEN(Tabla1[[#This Row],[ENLACE]]))</f>
        <v>vejle-bk</v>
      </c>
      <c r="B180" s="2" t="s">
        <v>216</v>
      </c>
      <c r="C180" t="str">
        <f>_xlfn.TEXTBEFORE(_xlfn.TEXTAFTER(Tabla1[[#This Row],[ENLACE]],"/",1),"/")</f>
        <v>denmark</v>
      </c>
      <c r="D180" s="8" t="str">
        <f ca="1">IF(VLOOKUP(Tabla1[[#This Row],[PAIS]],$G$2:$H$34,2)="x","SI","NO")</f>
        <v>SI</v>
      </c>
    </row>
    <row r="181" spans="1:4" x14ac:dyDescent="0.3">
      <c r="A181" t="str">
        <f>MID(Tabla1[[#This Row],[ENLACE]],FIND("~",SUBSTITUTE(Tabla1[[#This Row],[ENLACE]],"/","~",2))+1,LEN(Tabla1[[#This Row],[ENLACE]]))</f>
        <v>viborg-ff</v>
      </c>
      <c r="B181" s="5" t="s">
        <v>217</v>
      </c>
      <c r="C181" t="str">
        <f>_xlfn.TEXTBEFORE(_xlfn.TEXTAFTER(Tabla1[[#This Row],[ENLACE]],"/",1),"/")</f>
        <v>denmark</v>
      </c>
      <c r="D181" s="8" t="str">
        <f ca="1">IF(VLOOKUP(Tabla1[[#This Row],[PAIS]],$G$2:$H$34,2)="x","SI","NO")</f>
        <v>SI</v>
      </c>
    </row>
    <row r="182" spans="1:4" x14ac:dyDescent="0.3">
      <c r="A182" t="str">
        <f>MID(Tabla1[[#This Row],[ENLACE]],FIND("~",SUBSTITUTE(Tabla1[[#This Row],[ENLACE]],"/","~",2))+1,LEN(Tabla1[[#This Row],[ENLACE]]))</f>
        <v>sd-aucas</v>
      </c>
      <c r="B182" s="5" t="s">
        <v>536</v>
      </c>
      <c r="C182" t="str">
        <f>_xlfn.TEXTBEFORE(_xlfn.TEXTAFTER(Tabla1[[#This Row],[ENLACE]],"/",1),"/")</f>
        <v>ecuador</v>
      </c>
      <c r="D182" s="8" t="str">
        <f ca="1">IF(VLOOKUP(Tabla1[[#This Row],[PAIS]],$G$2:$H$34,2)="x","SI","NO")</f>
        <v>SI</v>
      </c>
    </row>
    <row r="183" spans="1:4" x14ac:dyDescent="0.3">
      <c r="A183" t="str">
        <f>MID(Tabla1[[#This Row],[ENLACE]],FIND("~",SUBSTITUTE(Tabla1[[#This Row],[ENLACE]],"/","~",2))+1,LEN(Tabla1[[#This Row],[ENLACE]]))</f>
        <v>barcelona-sc</v>
      </c>
      <c r="B183" s="5" t="s">
        <v>537</v>
      </c>
      <c r="C183" t="str">
        <f>_xlfn.TEXTBEFORE(_xlfn.TEXTAFTER(Tabla1[[#This Row],[ENLACE]],"/",1),"/")</f>
        <v>ecuador</v>
      </c>
      <c r="D183" s="8" t="str">
        <f ca="1">IF(VLOOKUP(Tabla1[[#This Row],[PAIS]],$G$2:$H$34,2)="x","SI","NO")</f>
        <v>SI</v>
      </c>
    </row>
    <row r="184" spans="1:4" x14ac:dyDescent="0.3">
      <c r="A184" t="str">
        <f>MID(Tabla1[[#This Row],[ENLACE]],FIND("~",SUBSTITUTE(Tabla1[[#This Row],[ENLACE]],"/","~",2))+1,LEN(Tabla1[[#This Row],[ENLACE]]))</f>
        <v>delfin-sc</v>
      </c>
      <c r="B184" s="5" t="s">
        <v>538</v>
      </c>
      <c r="C184" t="str">
        <f>_xlfn.TEXTBEFORE(_xlfn.TEXTAFTER(Tabla1[[#This Row],[ENLACE]],"/",1),"/")</f>
        <v>ecuador</v>
      </c>
      <c r="D184" s="8" t="str">
        <f ca="1">IF(VLOOKUP(Tabla1[[#This Row],[PAIS]],$G$2:$H$34,2)="x","SI","NO")</f>
        <v>SI</v>
      </c>
    </row>
    <row r="185" spans="1:4" x14ac:dyDescent="0.3">
      <c r="A185" t="str">
        <f>MID(Tabla1[[#This Row],[ENLACE]],FIND("~",SUBSTITUTE(Tabla1[[#This Row],[ENLACE]],"/","~",2))+1,LEN(Tabla1[[#This Row],[ENLACE]]))</f>
        <v>cd-cuenca</v>
      </c>
      <c r="B185" s="5" t="s">
        <v>539</v>
      </c>
      <c r="C185" t="str">
        <f>_xlfn.TEXTBEFORE(_xlfn.TEXTAFTER(Tabla1[[#This Row],[ENLACE]],"/",1),"/")</f>
        <v>ecuador</v>
      </c>
      <c r="D185" s="8" t="str">
        <f ca="1">IF(VLOOKUP(Tabla1[[#This Row],[PAIS]],$G$2:$H$34,2)="x","SI","NO")</f>
        <v>SI</v>
      </c>
    </row>
    <row r="186" spans="1:4" x14ac:dyDescent="0.3">
      <c r="A186" t="str">
        <f>MID(Tabla1[[#This Row],[ENLACE]],FIND("~",SUBSTITUTE(Tabla1[[#This Row],[ENLACE]],"/","~",2))+1,LEN(Tabla1[[#This Row],[ENLACE]]))</f>
        <v>cs-emelec</v>
      </c>
      <c r="B186" s="5" t="s">
        <v>540</v>
      </c>
      <c r="C186" t="str">
        <f>_xlfn.TEXTBEFORE(_xlfn.TEXTAFTER(Tabla1[[#This Row],[ENLACE]],"/",1),"/")</f>
        <v>ecuador</v>
      </c>
      <c r="D186" s="8" t="str">
        <f ca="1">IF(VLOOKUP(Tabla1[[#This Row],[PAIS]],$G$2:$H$34,2)="x","SI","NO")</f>
        <v>SI</v>
      </c>
    </row>
    <row r="187" spans="1:4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588</v>
      </c>
      <c r="C187" t="str">
        <f>_xlfn.TEXTBEFORE(_xlfn.TEXTAFTER(Tabla1[[#This Row],[ENLACE]],"/",1),"/")</f>
        <v>ecuador</v>
      </c>
      <c r="D187" s="8" t="str">
        <f ca="1">IF(VLOOKUP(Tabla1[[#This Row],[PAIS]],$G$2:$H$34,2)="x","SI","NO")</f>
        <v>SI</v>
      </c>
    </row>
    <row r="188" spans="1:4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541</v>
      </c>
      <c r="C188" t="str">
        <f>_xlfn.TEXTBEFORE(_xlfn.TEXTAFTER(Tabla1[[#This Row],[ENLACE]],"/",1),"/")</f>
        <v>ecuador</v>
      </c>
      <c r="D188" s="8" t="str">
        <f ca="1">IF(VLOOKUP(Tabla1[[#This Row],[PAIS]],$G$2:$H$34,2)="x","SI","NO")</f>
        <v>SI</v>
      </c>
    </row>
    <row r="189" spans="1:4" x14ac:dyDescent="0.3">
      <c r="A189" t="str">
        <f>MID(Tabla1[[#This Row],[ENLACE]],FIND("~",SUBSTITUTE(Tabla1[[#This Row],[ENLACE]],"/","~",2))+1,LEN(Tabla1[[#This Row],[ENLACE]]))</f>
        <v>ldu-quito</v>
      </c>
      <c r="B189" s="5" t="s">
        <v>542</v>
      </c>
      <c r="C189" t="str">
        <f>_xlfn.TEXTBEFORE(_xlfn.TEXTAFTER(Tabla1[[#This Row],[ENLACE]],"/",1),"/")</f>
        <v>ecuador</v>
      </c>
      <c r="D189" s="8" t="str">
        <f ca="1">IF(VLOOKUP(Tabla1[[#This Row],[PAIS]],$G$2:$H$34,2)="x","SI","NO")</f>
        <v>SI</v>
      </c>
    </row>
    <row r="190" spans="1:4" x14ac:dyDescent="0.3">
      <c r="A190" t="str">
        <f>MID(Tabla1[[#This Row],[ENLACE]],FIND("~",SUBSTITUTE(Tabla1[[#This Row],[ENLACE]],"/","~",2))+1,LEN(Tabla1[[#This Row],[ENLACE]]))</f>
        <v>leones-fc</v>
      </c>
      <c r="B190" s="5" t="s">
        <v>589</v>
      </c>
      <c r="C190" t="str">
        <f>_xlfn.TEXTBEFORE(_xlfn.TEXTAFTER(Tabla1[[#This Row],[ENLACE]],"/",1),"/")</f>
        <v>ecuador</v>
      </c>
      <c r="D190" s="8" t="str">
        <f ca="1">IF(VLOOKUP(Tabla1[[#This Row],[PAIS]],$G$2:$H$34,2)="x","SI","NO")</f>
        <v>SI</v>
      </c>
    </row>
    <row r="191" spans="1:4" x14ac:dyDescent="0.3">
      <c r="A191" t="str">
        <f>MID(Tabla1[[#This Row],[ENLACE]],FIND("~",SUBSTITUTE(Tabla1[[#This Row],[ENLACE]],"/","~",2))+1,LEN(Tabla1[[#This Row],[ENLACE]]))</f>
        <v>libertad-fc</v>
      </c>
      <c r="B191" s="5" t="s">
        <v>543</v>
      </c>
      <c r="C191" t="str">
        <f>_xlfn.TEXTBEFORE(_xlfn.TEXTAFTER(Tabla1[[#This Row],[ENLACE]],"/",1),"/")</f>
        <v>ecuador</v>
      </c>
      <c r="D191" s="8" t="str">
        <f ca="1">IF(VLOOKUP(Tabla1[[#This Row],[PAIS]],$G$2:$H$34,2)="x","SI","NO")</f>
        <v>SI</v>
      </c>
    </row>
    <row r="192" spans="1:4" x14ac:dyDescent="0.3">
      <c r="A192" t="str">
        <f>MID(Tabla1[[#This Row],[ENLACE]],FIND("~",SUBSTITUTE(Tabla1[[#This Row],[ENLACE]],"/","~",2))+1,LEN(Tabla1[[#This Row],[ENLACE]]))</f>
        <v>csd-macara</v>
      </c>
      <c r="B192" s="5" t="s">
        <v>544</v>
      </c>
      <c r="C192" t="str">
        <f>_xlfn.TEXTBEFORE(_xlfn.TEXTAFTER(Tabla1[[#This Row],[ENLACE]],"/",1),"/")</f>
        <v>ecuador</v>
      </c>
      <c r="D192" s="8" t="str">
        <f ca="1">IF(VLOOKUP(Tabla1[[#This Row],[PAIS]],$G$2:$H$34,2)="x","SI","NO")</f>
        <v>SI</v>
      </c>
    </row>
    <row r="193" spans="1:4" x14ac:dyDescent="0.3">
      <c r="A193" t="str">
        <f>MID(Tabla1[[#This Row],[ENLACE]],FIND("~",SUBSTITUTE(Tabla1[[#This Row],[ENLACE]],"/","~",2))+1,LEN(Tabla1[[#This Row],[ENLACE]]))</f>
        <v>manta-fc</v>
      </c>
      <c r="B193" s="5" t="s">
        <v>545</v>
      </c>
      <c r="C193" t="str">
        <f>_xlfn.TEXTBEFORE(_xlfn.TEXTAFTER(Tabla1[[#This Row],[ENLACE]],"/",1),"/")</f>
        <v>ecuador</v>
      </c>
      <c r="D193" s="8" t="str">
        <f ca="1">IF(VLOOKUP(Tabla1[[#This Row],[PAIS]],$G$2:$H$34,2)="x","SI","NO")</f>
        <v>SI</v>
      </c>
    </row>
    <row r="194" spans="1:4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546</v>
      </c>
      <c r="C194" t="str">
        <f>_xlfn.TEXTBEFORE(_xlfn.TEXTAFTER(Tabla1[[#This Row],[ENLACE]],"/",1),"/")</f>
        <v>ecuador</v>
      </c>
      <c r="D194" s="8" t="str">
        <f ca="1">IF(VLOOKUP(Tabla1[[#This Row],[PAIS]],$G$2:$H$34,2)="x","SI","NO")</f>
        <v>SI</v>
      </c>
    </row>
    <row r="195" spans="1:4" x14ac:dyDescent="0.3">
      <c r="A195" t="str">
        <f>MID(Tabla1[[#This Row],[ENLACE]],FIND("~",SUBSTITUTE(Tabla1[[#This Row],[ENLACE]],"/","~",2))+1,LEN(Tabla1[[#This Row],[ENLACE]]))</f>
        <v>orense-sc</v>
      </c>
      <c r="B195" s="5" t="s">
        <v>547</v>
      </c>
      <c r="C195" t="str">
        <f>_xlfn.TEXTBEFORE(_xlfn.TEXTAFTER(Tabla1[[#This Row],[ENLACE]],"/",1),"/")</f>
        <v>ecuador</v>
      </c>
      <c r="D195" s="8" t="str">
        <f ca="1">IF(VLOOKUP(Tabla1[[#This Row],[PAIS]],$G$2:$H$34,2)="x","SI","NO")</f>
        <v>SI</v>
      </c>
    </row>
    <row r="196" spans="1:4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548</v>
      </c>
      <c r="C196" t="str">
        <f>_xlfn.TEXTBEFORE(_xlfn.TEXTAFTER(Tabla1[[#This Row],[ENLACE]],"/",1),"/")</f>
        <v>ecuador</v>
      </c>
      <c r="D196" s="8" t="str">
        <f ca="1">IF(VLOOKUP(Tabla1[[#This Row],[PAIS]],$G$2:$H$34,2)="x","SI","NO")</f>
        <v>SI</v>
      </c>
    </row>
    <row r="197" spans="1:4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549</v>
      </c>
      <c r="C197" t="str">
        <f>_xlfn.TEXTBEFORE(_xlfn.TEXTAFTER(Tabla1[[#This Row],[ENLACE]],"/",1),"/")</f>
        <v>ecuador</v>
      </c>
      <c r="D197" s="8" t="str">
        <f ca="1">IF(VLOOKUP(Tabla1[[#This Row],[PAIS]],$G$2:$H$34,2)="x","SI","NO")</f>
        <v>SI</v>
      </c>
    </row>
    <row r="198" spans="1:4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s="8" t="str">
        <f ca="1">IF(VLOOKUP(Tabla1[[#This Row],[PAIS]],$G$2:$H$34,2)="x","SI","NO")</f>
        <v>SI</v>
      </c>
    </row>
    <row r="199" spans="1:4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s="8" t="str">
        <f ca="1">IF(VLOOKUP(Tabla1[[#This Row],[PAIS]],$G$2:$H$34,2)="x","SI","NO")</f>
        <v>SI</v>
      </c>
    </row>
    <row r="200" spans="1:4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s="8" t="str">
        <f ca="1">IF(VLOOKUP(Tabla1[[#This Row],[PAIS]],$G$2:$H$34,2)="x","SI","NO")</f>
        <v>SI</v>
      </c>
    </row>
    <row r="201" spans="1:4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s="8" t="str">
        <f ca="1">IF(VLOOKUP(Tabla1[[#This Row],[PAIS]],$G$2:$H$34,2)="x","SI","NO")</f>
        <v>SI</v>
      </c>
    </row>
    <row r="202" spans="1:4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s="8" t="str">
        <f ca="1">IF(VLOOKUP(Tabla1[[#This Row],[PAIS]],$G$2:$H$34,2)="x","SI","NO")</f>
        <v>SI</v>
      </c>
    </row>
    <row r="203" spans="1:4" x14ac:dyDescent="0.3">
      <c r="A203" t="str">
        <f>MID(Tabla1[[#This Row],[ENLACE]],FIND("~",SUBSTITUTE(Tabla1[[#This Row],[ENLACE]],"/","~",2))+1,LEN(Tabla1[[#This Row],[ENLACE]]))</f>
        <v>burnley-fc</v>
      </c>
      <c r="B203" s="5" t="s">
        <v>25</v>
      </c>
      <c r="C203" t="str">
        <f>_xlfn.TEXTBEFORE(_xlfn.TEXTAFTER(Tabla1[[#This Row],[ENLACE]],"/",1),"/")</f>
        <v>england</v>
      </c>
      <c r="D203" s="8" t="str">
        <f ca="1">IF(VLOOKUP(Tabla1[[#This Row],[PAIS]],$G$2:$H$34,2)="x","SI","NO")</f>
        <v>SI</v>
      </c>
    </row>
    <row r="204" spans="1:4" x14ac:dyDescent="0.3">
      <c r="A204" t="str">
        <f>MID(Tabla1[[#This Row],[ENLACE]],FIND("~",SUBSTITUTE(Tabla1[[#This Row],[ENLACE]],"/","~",2))+1,LEN(Tabla1[[#This Row],[ENLACE]]))</f>
        <v>chelsea-fc</v>
      </c>
      <c r="B204" s="2" t="s">
        <v>26</v>
      </c>
      <c r="C204" t="str">
        <f>_xlfn.TEXTBEFORE(_xlfn.TEXTAFTER(Tabla1[[#This Row],[ENLACE]],"/",1),"/")</f>
        <v>england</v>
      </c>
      <c r="D204" s="8" t="str">
        <f ca="1">IF(VLOOKUP(Tabla1[[#This Row],[PAIS]],$G$2:$H$34,2)="x","SI","NO")</f>
        <v>SI</v>
      </c>
    </row>
    <row r="205" spans="1:4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s="8" t="str">
        <f ca="1">IF(VLOOKUP(Tabla1[[#This Row],[PAIS]],$G$2:$H$34,2)="x","SI","NO")</f>
        <v>SI</v>
      </c>
    </row>
    <row r="206" spans="1:4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s="8" t="str">
        <f ca="1">IF(VLOOKUP(Tabla1[[#This Row],[PAIS]],$G$2:$H$34,2)="x","SI","NO")</f>
        <v>SI</v>
      </c>
    </row>
    <row r="207" spans="1:4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s="8" t="str">
        <f ca="1">IF(VLOOKUP(Tabla1[[#This Row],[PAIS]],$G$2:$H$34,2)="x","SI","NO")</f>
        <v>SI</v>
      </c>
    </row>
    <row r="208" spans="1:4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s="8" t="str">
        <f ca="1">IF(VLOOKUP(Tabla1[[#This Row],[PAIS]],$G$2:$H$34,2)="x","SI","NO")</f>
        <v>SI</v>
      </c>
    </row>
    <row r="209" spans="1:4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s="8" t="str">
        <f ca="1">IF(VLOOKUP(Tabla1[[#This Row],[PAIS]],$G$2:$H$34,2)="x","SI","NO")</f>
        <v>SI</v>
      </c>
    </row>
    <row r="210" spans="1:4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s="8" t="str">
        <f ca="1">IF(VLOOKUP(Tabla1[[#This Row],[PAIS]],$G$2:$H$34,2)="x","SI","NO")</f>
        <v>SI</v>
      </c>
    </row>
    <row r="211" spans="1:4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s="8" t="str">
        <f ca="1">IF(VLOOKUP(Tabla1[[#This Row],[PAIS]],$G$2:$H$34,2)="x","SI","NO")</f>
        <v>SI</v>
      </c>
    </row>
    <row r="212" spans="1:4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s="8" t="str">
        <f ca="1">IF(VLOOKUP(Tabla1[[#This Row],[PAIS]],$G$2:$H$34,2)="x","SI","NO")</f>
        <v>SI</v>
      </c>
    </row>
    <row r="213" spans="1:4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s="8" t="str">
        <f ca="1">IF(VLOOKUP(Tabla1[[#This Row],[PAIS]],$G$2:$H$34,2)="x","SI","NO")</f>
        <v>SI</v>
      </c>
    </row>
    <row r="214" spans="1:4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west-ham-united-fc</v>
      </c>
      <c r="B216" s="2" t="s">
        <v>38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wolverhampton-wanderers-fc</v>
      </c>
      <c r="B217" s="5" t="s">
        <v>39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218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219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bristol-city-fc</v>
      </c>
      <c r="B220" s="2" t="s">
        <v>220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charlton-athletic-fc</v>
      </c>
      <c r="B221" s="5" t="s">
        <v>221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coventry-city-fc</v>
      </c>
      <c r="B222" s="2" t="s">
        <v>222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223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hull-city-fc</v>
      </c>
      <c r="B224" s="2" t="s">
        <v>224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ipswich-town-fc</v>
      </c>
      <c r="B225" s="5" t="s">
        <v>225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leicester-city-fc</v>
      </c>
      <c r="B226" s="2" t="s">
        <v>226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227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millwall-fc</v>
      </c>
      <c r="B228" s="2" t="s">
        <v>228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229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oxford-united-fc</v>
      </c>
      <c r="B230" s="2" t="s">
        <v>230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portsmouth-fc</v>
      </c>
      <c r="B231" s="5" t="s">
        <v>231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preston-north-end-fc</v>
      </c>
      <c r="B232" s="2" t="s">
        <v>232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queens-park-rangers-fc</v>
      </c>
      <c r="B233" s="5" t="s">
        <v>233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sheffield-united-fc</v>
      </c>
      <c r="B234" s="2" t="s">
        <v>234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sheffield-wednesday-fc</v>
      </c>
      <c r="B235" s="5" t="s">
        <v>235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southampton-fc</v>
      </c>
      <c r="B236" s="2" t="s">
        <v>236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stoke-city-fc</v>
      </c>
      <c r="B237" s="5" t="s">
        <v>237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swansea-city-afc</v>
      </c>
      <c r="B238" s="2" t="s">
        <v>238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watford-fc</v>
      </c>
      <c r="B239" s="5" t="s">
        <v>239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west-bromwich-albion-fc</v>
      </c>
      <c r="B240" s="2" t="s">
        <v>240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wrexham-afc</v>
      </c>
      <c r="B241" s="5" t="s">
        <v>241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if-gnistan</v>
      </c>
      <c r="B242" s="5" t="s">
        <v>565</v>
      </c>
      <c r="C242" t="str">
        <f>_xlfn.TEXTBEFORE(_xlfn.TEXTAFTER(Tabla1[[#This Row],[ENLACE]],"/",1),"/")</f>
        <v>finland</v>
      </c>
      <c r="D242" s="8" t="str">
        <f ca="1">IF(VLOOKUP(Tabla1[[#This Row],[PAIS]],$G$2:$H$34,2)="x","SI","NO")</f>
        <v>SI</v>
      </c>
    </row>
    <row r="243" spans="1:4" x14ac:dyDescent="0.3">
      <c r="A243" t="str">
        <f>MID(Tabla1[[#This Row],[ENLACE]],FIND("~",SUBSTITUTE(Tabla1[[#This Row],[ENLACE]],"/","~",2))+1,LEN(Tabla1[[#This Row],[ENLACE]]))</f>
        <v>hjk-helsinki</v>
      </c>
      <c r="B243" s="5" t="s">
        <v>566</v>
      </c>
      <c r="C243" t="str">
        <f>_xlfn.TEXTBEFORE(_xlfn.TEXTAFTER(Tabla1[[#This Row],[ENLACE]],"/",1),"/")</f>
        <v>finland</v>
      </c>
      <c r="D243" s="8" t="str">
        <f ca="1">IF(VLOOKUP(Tabla1[[#This Row],[PAIS]],$G$2:$H$34,2)="x","SI","NO")</f>
        <v>SI</v>
      </c>
    </row>
    <row r="244" spans="1:4" x14ac:dyDescent="0.3">
      <c r="A244" t="str">
        <f>MID(Tabla1[[#This Row],[ENLACE]],FIND("~",SUBSTITUTE(Tabla1[[#This Row],[ENLACE]],"/","~",2))+1,LEN(Tabla1[[#This Row],[ENLACE]]))</f>
        <v>fc-ilves</v>
      </c>
      <c r="B244" s="5" t="s">
        <v>567</v>
      </c>
      <c r="C244" t="str">
        <f>_xlfn.TEXTBEFORE(_xlfn.TEXTAFTER(Tabla1[[#This Row],[ENLACE]],"/",1),"/")</f>
        <v>finland</v>
      </c>
      <c r="D244" s="8" t="str">
        <f ca="1">IF(VLOOKUP(Tabla1[[#This Row],[PAIS]],$G$2:$H$34,2)="x","SI","NO")</f>
        <v>SI</v>
      </c>
    </row>
    <row r="245" spans="1:4" x14ac:dyDescent="0.3">
      <c r="A245" t="str">
        <f>MID(Tabla1[[#This Row],[ENLACE]],FIND("~",SUBSTITUTE(Tabla1[[#This Row],[ENLACE]],"/","~",2))+1,LEN(Tabla1[[#This Row],[ENLACE]]))</f>
        <v>fc-inter-turku</v>
      </c>
      <c r="B245" s="5" t="s">
        <v>568</v>
      </c>
      <c r="C245" t="str">
        <f>_xlfn.TEXTBEFORE(_xlfn.TEXTAFTER(Tabla1[[#This Row],[ENLACE]],"/",1),"/")</f>
        <v>finland</v>
      </c>
      <c r="D245" s="8" t="str">
        <f ca="1">IF(VLOOKUP(Tabla1[[#This Row],[PAIS]],$G$2:$H$34,2)="x","SI","NO")</f>
        <v>SI</v>
      </c>
    </row>
    <row r="246" spans="1:4" x14ac:dyDescent="0.3">
      <c r="A246" t="str">
        <f>MID(Tabla1[[#This Row],[ENLACE]],FIND("~",SUBSTITUTE(Tabla1[[#This Row],[ENLACE]],"/","~",2))+1,LEN(Tabla1[[#This Row],[ENLACE]]))</f>
        <v>ff-jaro</v>
      </c>
      <c r="B246" s="5" t="s">
        <v>569</v>
      </c>
      <c r="C246" t="str">
        <f>_xlfn.TEXTBEFORE(_xlfn.TEXTAFTER(Tabla1[[#This Row],[ENLACE]],"/",1),"/")</f>
        <v>finland</v>
      </c>
      <c r="D246" s="8" t="str">
        <f ca="1">IF(VLOOKUP(Tabla1[[#This Row],[PAIS]],$G$2:$H$34,2)="x","SI","NO")</f>
        <v>SI</v>
      </c>
    </row>
    <row r="247" spans="1:4" x14ac:dyDescent="0.3">
      <c r="A247" t="str">
        <f>MID(Tabla1[[#This Row],[ENLACE]],FIND("~",SUBSTITUTE(Tabla1[[#This Row],[ENLACE]],"/","~",2))+1,LEN(Tabla1[[#This Row],[ENLACE]]))</f>
        <v>kuopion-palloseura</v>
      </c>
      <c r="B247" s="5" t="s">
        <v>570</v>
      </c>
      <c r="C247" t="str">
        <f>_xlfn.TEXTBEFORE(_xlfn.TEXTAFTER(Tabla1[[#This Row],[ENLACE]],"/",1),"/")</f>
        <v>finland</v>
      </c>
      <c r="D247" s="8" t="str">
        <f ca="1">IF(VLOOKUP(Tabla1[[#This Row],[PAIS]],$G$2:$H$34,2)="x","SI","NO")</f>
        <v>SI</v>
      </c>
    </row>
    <row r="248" spans="1:4" x14ac:dyDescent="0.3">
      <c r="A248" t="str">
        <f>MID(Tabla1[[#This Row],[ENLACE]],FIND("~",SUBSTITUTE(Tabla1[[#This Row],[ENLACE]],"/","~",2))+1,LEN(Tabla1[[#This Row],[ENLACE]]))</f>
        <v>fc-lahti</v>
      </c>
      <c r="B248" s="5" t="s">
        <v>626</v>
      </c>
      <c r="C248" t="str">
        <f>_xlfn.TEXTBEFORE(_xlfn.TEXTAFTER(Tabla1[[#This Row],[ENLACE]],"/",1),"/")</f>
        <v>finland</v>
      </c>
      <c r="D248" s="8" t="str">
        <f ca="1">IF(VLOOKUP(Tabla1[[#This Row],[PAIS]],$G$2:$H$34,2)="x","SI","NO")</f>
        <v>SI</v>
      </c>
    </row>
    <row r="249" spans="1:4" x14ac:dyDescent="0.3">
      <c r="A249" t="str">
        <f>MID(Tabla1[[#This Row],[ENLACE]],FIND("~",SUBSTITUTE(Tabla1[[#This Row],[ENLACE]],"/","~",2))+1,LEN(Tabla1[[#This Row],[ENLACE]]))</f>
        <v>ifk-mariehamn</v>
      </c>
      <c r="B249" s="5" t="s">
        <v>571</v>
      </c>
      <c r="C249" t="str">
        <f>_xlfn.TEXTBEFORE(_xlfn.TEXTAFTER(Tabla1[[#This Row],[ENLACE]],"/",1),"/")</f>
        <v>finland</v>
      </c>
      <c r="D249" s="8" t="str">
        <f ca="1">IF(VLOOKUP(Tabla1[[#This Row],[PAIS]],$G$2:$H$34,2)="x","SI","NO")</f>
        <v>SI</v>
      </c>
    </row>
    <row r="250" spans="1:4" x14ac:dyDescent="0.3">
      <c r="A250" t="str">
        <f>MID(Tabla1[[#This Row],[ENLACE]],FIND("~",SUBSTITUTE(Tabla1[[#This Row],[ENLACE]],"/","~",2))+1,LEN(Tabla1[[#This Row],[ENLACE]]))</f>
        <v>ac-oulu</v>
      </c>
      <c r="B250" s="5" t="s">
        <v>572</v>
      </c>
      <c r="C250" t="str">
        <f>_xlfn.TEXTBEFORE(_xlfn.TEXTAFTER(Tabla1[[#This Row],[ENLACE]],"/",1),"/")</f>
        <v>finland</v>
      </c>
      <c r="D250" s="8" t="str">
        <f ca="1">IF(VLOOKUP(Tabla1[[#This Row],[PAIS]],$G$2:$H$34,2)="x","SI","NO")</f>
        <v>SI</v>
      </c>
    </row>
    <row r="251" spans="1:4" x14ac:dyDescent="0.3">
      <c r="A251" t="str">
        <f>MID(Tabla1[[#This Row],[ENLACE]],FIND("~",SUBSTITUTE(Tabla1[[#This Row],[ENLACE]],"/","~",2))+1,LEN(Tabla1[[#This Row],[ENLACE]]))</f>
        <v>sjk</v>
      </c>
      <c r="B251" s="5" t="s">
        <v>573</v>
      </c>
      <c r="C251" t="str">
        <f>_xlfn.TEXTBEFORE(_xlfn.TEXTAFTER(Tabla1[[#This Row],[ENLACE]],"/",1),"/")</f>
        <v>finland</v>
      </c>
      <c r="D251" s="8" t="str">
        <f ca="1">IF(VLOOKUP(Tabla1[[#This Row],[PAIS]],$G$2:$H$34,2)="x","SI","NO")</f>
        <v>SI</v>
      </c>
    </row>
    <row r="252" spans="1:4" x14ac:dyDescent="0.3">
      <c r="A252" t="str">
        <f>MID(Tabla1[[#This Row],[ENLACE]],FIND("~",SUBSTITUTE(Tabla1[[#This Row],[ENLACE]],"/","~",2))+1,LEN(Tabla1[[#This Row],[ENLACE]]))</f>
        <v>tps-turku</v>
      </c>
      <c r="B252" s="5" t="s">
        <v>627</v>
      </c>
      <c r="C252" t="str">
        <f>_xlfn.TEXTBEFORE(_xlfn.TEXTAFTER(Tabla1[[#This Row],[ENLACE]],"/",1),"/")</f>
        <v>finland</v>
      </c>
      <c r="D252" s="8" t="str">
        <f ca="1">IF(VLOOKUP(Tabla1[[#This Row],[PAIS]],$G$2:$H$34,2)="x","SI","NO")</f>
        <v>SI</v>
      </c>
    </row>
    <row r="253" spans="1:4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574</v>
      </c>
      <c r="C253" t="str">
        <f>_xlfn.TEXTBEFORE(_xlfn.TEXTAFTER(Tabla1[[#This Row],[ENLACE]],"/",1),"/")</f>
        <v>finland</v>
      </c>
      <c r="D253" s="8" t="str">
        <f ca="1">IF(VLOOKUP(Tabla1[[#This Row],[PAIS]],$G$2:$H$34,2)="x","SI","NO")</f>
        <v>SI</v>
      </c>
    </row>
    <row r="254" spans="1:4" x14ac:dyDescent="0.3">
      <c r="A254" t="str">
        <f>MID(Tabla1[[#This Row],[ENLACE]],FIND("~",SUBSTITUTE(Tabla1[[#This Row],[ENLACE]],"/","~",2))+1,LEN(Tabla1[[#This Row],[ENLACE]]))</f>
        <v>angers-sco</v>
      </c>
      <c r="B254" s="2" t="s">
        <v>242</v>
      </c>
      <c r="C254" t="str">
        <f>_xlfn.TEXTBEFORE(_xlfn.TEXTAFTER(Tabla1[[#This Row],[ENLACE]],"/",1),"/")</f>
        <v>france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aj-auxerre</v>
      </c>
      <c r="B255" s="5" t="s">
        <v>243</v>
      </c>
      <c r="C255" t="str">
        <f>_xlfn.TEXTBEFORE(_xlfn.TEXTAFTER(Tabla1[[#This Row],[ENLACE]],"/",1),"/")</f>
        <v>france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244</v>
      </c>
      <c r="C256" t="str">
        <f>_xlfn.TEXTBEFORE(_xlfn.TEXTAFTER(Tabla1[[#This Row],[ENLACE]],"/",1),"/")</f>
        <v>france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le-havre-ac</v>
      </c>
      <c r="B257" s="5" t="s">
        <v>245</v>
      </c>
      <c r="C257" t="str">
        <f>_xlfn.TEXTBEFORE(_xlfn.TEXTAFTER(Tabla1[[#This Row],[ENLACE]],"/",1),"/")</f>
        <v>france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rc-lens</v>
      </c>
      <c r="B258" s="2" t="s">
        <v>246</v>
      </c>
      <c r="C258" t="str">
        <f>_xlfn.TEXTBEFORE(_xlfn.TEXTAFTER(Tabla1[[#This Row],[ENLACE]],"/",1),"/")</f>
        <v>france</v>
      </c>
      <c r="D258" s="8" t="str">
        <f ca="1">IF(VLOOKUP(Tabla1[[#This Row],[PAIS]],$G$2:$H$34,2)="x","SI","NO")</f>
        <v>SI</v>
      </c>
    </row>
    <row r="259" spans="1:4" x14ac:dyDescent="0.3">
      <c r="A259" t="str">
        <f>MID(Tabla1[[#This Row],[ENLACE]],FIND("~",SUBSTITUTE(Tabla1[[#This Row],[ENLACE]],"/","~",2))+1,LEN(Tabla1[[#This Row],[ENLACE]]))</f>
        <v>lille-osc</v>
      </c>
      <c r="B259" s="5" t="s">
        <v>247</v>
      </c>
      <c r="C259" t="str">
        <f>_xlfn.TEXTBEFORE(_xlfn.TEXTAFTER(Tabla1[[#This Row],[ENLACE]],"/",1),"/")</f>
        <v>france</v>
      </c>
      <c r="D259" s="8" t="str">
        <f ca="1">IF(VLOOKUP(Tabla1[[#This Row],[PAIS]],$G$2:$H$34,2)="x","SI","NO")</f>
        <v>SI</v>
      </c>
    </row>
    <row r="260" spans="1:4" x14ac:dyDescent="0.3">
      <c r="A260" t="str">
        <f>MID(Tabla1[[#This Row],[ENLACE]],FIND("~",SUBSTITUTE(Tabla1[[#This Row],[ENLACE]],"/","~",2))+1,LEN(Tabla1[[#This Row],[ENLACE]]))</f>
        <v>fc-lorient</v>
      </c>
      <c r="B260" s="2" t="s">
        <v>516</v>
      </c>
      <c r="C260" t="str">
        <f>_xlfn.TEXTBEFORE(_xlfn.TEXTAFTER(Tabla1[[#This Row],[ENLACE]],"/",1),"/")</f>
        <v>france</v>
      </c>
      <c r="D260" s="8" t="str">
        <f ca="1">IF(VLOOKUP(Tabla1[[#This Row],[PAIS]],$G$2:$H$34,2)="x","SI","NO")</f>
        <v>SI</v>
      </c>
    </row>
    <row r="261" spans="1:4" x14ac:dyDescent="0.3">
      <c r="A261" t="str">
        <f>MID(Tabla1[[#This Row],[ENLACE]],FIND("~",SUBSTITUTE(Tabla1[[#This Row],[ENLACE]],"/","~",2))+1,LEN(Tabla1[[#This Row],[ENLACE]]))</f>
        <v>olympique-lyonnais</v>
      </c>
      <c r="B261" s="5" t="s">
        <v>248</v>
      </c>
      <c r="C261" t="str">
        <f>_xlfn.TEXTBEFORE(_xlfn.TEXTAFTER(Tabla1[[#This Row],[ENLACE]],"/",1),"/")</f>
        <v>france</v>
      </c>
      <c r="D261" s="8" t="str">
        <f ca="1">IF(VLOOKUP(Tabla1[[#This Row],[PAIS]],$G$2:$H$34,2)="x","SI","NO")</f>
        <v>SI</v>
      </c>
    </row>
    <row r="262" spans="1:4" x14ac:dyDescent="0.3">
      <c r="A262" t="str">
        <f>MID(Tabla1[[#This Row],[ENLACE]],FIND("~",SUBSTITUTE(Tabla1[[#This Row],[ENLACE]],"/","~",2))+1,LEN(Tabla1[[#This Row],[ENLACE]]))</f>
        <v>olympique-de-marseille</v>
      </c>
      <c r="B262" s="2" t="s">
        <v>249</v>
      </c>
      <c r="C262" t="str">
        <f>_xlfn.TEXTBEFORE(_xlfn.TEXTAFTER(Tabla1[[#This Row],[ENLACE]],"/",1),"/")</f>
        <v>france</v>
      </c>
      <c r="D262" s="8" t="str">
        <f ca="1">IF(VLOOKUP(Tabla1[[#This Row],[PAIS]],$G$2:$H$34,2)="x","SI","NO")</f>
        <v>SI</v>
      </c>
    </row>
    <row r="263" spans="1:4" x14ac:dyDescent="0.3">
      <c r="A263" t="str">
        <f>MID(Tabla1[[#This Row],[ENLACE]],FIND("~",SUBSTITUTE(Tabla1[[#This Row],[ENLACE]],"/","~",2))+1,LEN(Tabla1[[#This Row],[ENLACE]]))</f>
        <v>fc-metz</v>
      </c>
      <c r="B263" s="5" t="s">
        <v>517</v>
      </c>
      <c r="C263" t="str">
        <f>_xlfn.TEXTBEFORE(_xlfn.TEXTAFTER(Tabla1[[#This Row],[ENLACE]],"/",1),"/")</f>
        <v>france</v>
      </c>
      <c r="D263" s="8" t="str">
        <f ca="1">IF(VLOOKUP(Tabla1[[#This Row],[PAIS]],$G$2:$H$34,2)="x","SI","NO")</f>
        <v>SI</v>
      </c>
    </row>
    <row r="264" spans="1:4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250</v>
      </c>
      <c r="C264" t="str">
        <f>_xlfn.TEXTBEFORE(_xlfn.TEXTAFTER(Tabla1[[#This Row],[ENLACE]],"/",1),"/")</f>
        <v>france</v>
      </c>
      <c r="D264" s="8" t="str">
        <f ca="1">IF(VLOOKUP(Tabla1[[#This Row],[PAIS]],$G$2:$H$34,2)="x","SI","NO")</f>
        <v>SI</v>
      </c>
    </row>
    <row r="265" spans="1:4" x14ac:dyDescent="0.3">
      <c r="A265" t="str">
        <f>MID(Tabla1[[#This Row],[ENLACE]],FIND("~",SUBSTITUTE(Tabla1[[#This Row],[ENLACE]],"/","~",2))+1,LEN(Tabla1[[#This Row],[ENLACE]]))</f>
        <v>fc-nantes</v>
      </c>
      <c r="B265" s="5" t="s">
        <v>251</v>
      </c>
      <c r="C265" t="str">
        <f>_xlfn.TEXTBEFORE(_xlfn.TEXTAFTER(Tabla1[[#This Row],[ENLACE]],"/",1),"/")</f>
        <v>france</v>
      </c>
      <c r="D265" s="8" t="str">
        <f ca="1">IF(VLOOKUP(Tabla1[[#This Row],[PAIS]],$G$2:$H$34,2)="x","SI","NO")</f>
        <v>SI</v>
      </c>
    </row>
    <row r="266" spans="1:4" x14ac:dyDescent="0.3">
      <c r="A266" t="str">
        <f>MID(Tabla1[[#This Row],[ENLACE]],FIND("~",SUBSTITUTE(Tabla1[[#This Row],[ENLACE]],"/","~",2))+1,LEN(Tabla1[[#This Row],[ENLACE]]))</f>
        <v>ogc-nice</v>
      </c>
      <c r="B266" s="2" t="s">
        <v>252</v>
      </c>
      <c r="C266" t="str">
        <f>_xlfn.TEXTBEFORE(_xlfn.TEXTAFTER(Tabla1[[#This Row],[ENLACE]],"/",1),"/")</f>
        <v>france</v>
      </c>
      <c r="D266" s="8" t="str">
        <f ca="1">IF(VLOOKUP(Tabla1[[#This Row],[PAIS]],$G$2:$H$34,2)="x","SI","NO")</f>
        <v>SI</v>
      </c>
    </row>
    <row r="267" spans="1:4" x14ac:dyDescent="0.3">
      <c r="A267" t="str">
        <f>MID(Tabla1[[#This Row],[ENLACE]],FIND("~",SUBSTITUTE(Tabla1[[#This Row],[ENLACE]],"/","~",2))+1,LEN(Tabla1[[#This Row],[ENLACE]]))</f>
        <v>paris-fc</v>
      </c>
      <c r="B267" s="5" t="s">
        <v>518</v>
      </c>
      <c r="C267" t="str">
        <f>_xlfn.TEXTBEFORE(_xlfn.TEXTAFTER(Tabla1[[#This Row],[ENLACE]],"/",1),"/")</f>
        <v>france</v>
      </c>
      <c r="D267" s="8" t="str">
        <f ca="1">IF(VLOOKUP(Tabla1[[#This Row],[PAIS]],$G$2:$H$34,2)="x","SI","NO")</f>
        <v>SI</v>
      </c>
    </row>
    <row r="268" spans="1:4" x14ac:dyDescent="0.3">
      <c r="A268" t="str">
        <f>MID(Tabla1[[#This Row],[ENLACE]],FIND("~",SUBSTITUTE(Tabla1[[#This Row],[ENLACE]],"/","~",2))+1,LEN(Tabla1[[#This Row],[ENLACE]]))</f>
        <v>paris-saint-germain-fc</v>
      </c>
      <c r="B268" s="2" t="s">
        <v>253</v>
      </c>
      <c r="C268" t="str">
        <f>_xlfn.TEXTBEFORE(_xlfn.TEXTAFTER(Tabla1[[#This Row],[ENLACE]],"/",1),"/")</f>
        <v>france</v>
      </c>
      <c r="D268" s="8" t="str">
        <f ca="1">IF(VLOOKUP(Tabla1[[#This Row],[PAIS]],$G$2:$H$34,2)="x","SI","NO")</f>
        <v>SI</v>
      </c>
    </row>
    <row r="269" spans="1:4" x14ac:dyDescent="0.3">
      <c r="A269" t="str">
        <f>MID(Tabla1[[#This Row],[ENLACE]],FIND("~",SUBSTITUTE(Tabla1[[#This Row],[ENLACE]],"/","~",2))+1,LEN(Tabla1[[#This Row],[ENLACE]]))</f>
        <v>stade-rennais-fc</v>
      </c>
      <c r="B269" s="5" t="s">
        <v>254</v>
      </c>
      <c r="C269" t="str">
        <f>_xlfn.TEXTBEFORE(_xlfn.TEXTAFTER(Tabla1[[#This Row],[ENLACE]],"/",1),"/")</f>
        <v>france</v>
      </c>
      <c r="D269" s="8" t="str">
        <f ca="1">IF(VLOOKUP(Tabla1[[#This Row],[PAIS]],$G$2:$H$34,2)="x","SI","NO")</f>
        <v>SI</v>
      </c>
    </row>
    <row r="270" spans="1:4" x14ac:dyDescent="0.3">
      <c r="A270" t="str">
        <f>MID(Tabla1[[#This Row],[ENLACE]],FIND("~",SUBSTITUTE(Tabla1[[#This Row],[ENLACE]],"/","~",2))+1,LEN(Tabla1[[#This Row],[ENLACE]]))</f>
        <v>rc-strasbourg-alsace</v>
      </c>
      <c r="B270" s="2" t="s">
        <v>255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toulouse-fc</v>
      </c>
      <c r="B271" s="5" t="s">
        <v>256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vfl-bochum</v>
      </c>
      <c r="B274" s="2" t="s">
        <v>62</v>
      </c>
      <c r="C274" t="str">
        <f>_xlfn.TEXTBEFORE(_xlfn.TEXTAFTER(Tabla1[[#This Row],[ENLACE]],"/",1),"/")</f>
        <v>germany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werder-bremen</v>
      </c>
      <c r="B275" s="5" t="s">
        <v>63</v>
      </c>
      <c r="C275" t="str">
        <f>_xlfn.TEXTBEFORE(_xlfn.TEXTAFTER(Tabla1[[#This Row],[ENLACE]],"/",1),"/")</f>
        <v>germany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borussia-dortmund</v>
      </c>
      <c r="B276" s="2" t="s">
        <v>64</v>
      </c>
      <c r="C276" t="str">
        <f>_xlfn.TEXTBEFORE(_xlfn.TEXTAFTER(Tabla1[[#This Row],[ENLACE]],"/",1),"/")</f>
        <v>germany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eintracht-frankfurt</v>
      </c>
      <c r="B277" s="5" t="s">
        <v>65</v>
      </c>
      <c r="C277" t="str">
        <f>_xlfn.TEXTBEFORE(_xlfn.TEXTAFTER(Tabla1[[#This Row],[ENLACE]],"/",1),"/")</f>
        <v>germany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sc-freiburg</v>
      </c>
      <c r="B278" s="2" t="s">
        <v>66</v>
      </c>
      <c r="C278" t="str">
        <f>_xlfn.TEXTBEFORE(_xlfn.TEXTAFTER(Tabla1[[#This Row],[ENLACE]],"/",1),"/")</f>
        <v>germany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fc-heidenheim</v>
      </c>
      <c r="B279" s="5" t="s">
        <v>67</v>
      </c>
      <c r="C279" t="str">
        <f>_xlfn.TEXTBEFORE(_xlfn.TEXTAFTER(Tabla1[[#This Row],[ENLACE]],"/",1),"/")</f>
        <v>germany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hoffenheim</v>
      </c>
      <c r="B280" s="2" t="s">
        <v>68</v>
      </c>
      <c r="C280" t="str">
        <f>_xlfn.TEXTBEFORE(_xlfn.TEXTAFTER(Tabla1[[#This Row],[ENLACE]],"/",1),"/")</f>
        <v>germany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holstein-kiel</v>
      </c>
      <c r="B281" s="5" t="s">
        <v>69</v>
      </c>
      <c r="C281" t="str">
        <f>_xlfn.TEXTBEFORE(_xlfn.TEXTAFTER(Tabla1[[#This Row],[ENLACE]],"/",1),"/")</f>
        <v>germany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rb-leipzig</v>
      </c>
      <c r="B285" s="5" t="s">
        <v>73</v>
      </c>
      <c r="C285" t="str">
        <f>_xlfn.TEXTBEFORE(_xlfn.TEXTAFTER(Tabla1[[#This Row],[ENLACE]],"/",1),"/")</f>
        <v>germany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fc-st-pauli</v>
      </c>
      <c r="B286" s="2" t="s">
        <v>74</v>
      </c>
      <c r="C286" t="str">
        <f>_xlfn.TEXTBEFORE(_xlfn.TEXTAFTER(Tabla1[[#This Row],[ENLACE]],"/",1),"/")</f>
        <v>germany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vfb-stuttgart</v>
      </c>
      <c r="B287" s="5" t="s">
        <v>75</v>
      </c>
      <c r="C287" t="str">
        <f>_xlfn.TEXTBEFORE(_xlfn.TEXTAFTER(Tabla1[[#This Row],[ENLACE]],"/",1),"/")</f>
        <v>germany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union-berlin</v>
      </c>
      <c r="B288" s="2" t="s">
        <v>76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vfl-wolfsburg</v>
      </c>
      <c r="B289" s="5" t="s">
        <v>77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fc-augsburg</v>
      </c>
      <c r="B290" s="2" t="s">
        <v>60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bayern-munich</v>
      </c>
      <c r="B291" s="5" t="s">
        <v>61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werder-bremen</v>
      </c>
      <c r="B292" s="2" t="s">
        <v>63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borussia-dortmund</v>
      </c>
      <c r="B293" s="5" t="s">
        <v>64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fc-koln</v>
      </c>
      <c r="B294" s="2" t="s">
        <v>511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eintracht-frankfurt</v>
      </c>
      <c r="B295" s="5" t="s">
        <v>65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sc-freiburg</v>
      </c>
      <c r="B296" s="2" t="s">
        <v>66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hamburger-sv</v>
      </c>
      <c r="B297" s="5" t="s">
        <v>512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hoffenheim</v>
      </c>
      <c r="B299" s="5" t="s">
        <v>68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bayer-leverkusen</v>
      </c>
      <c r="B300" s="2" t="s">
        <v>70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mainz-05</v>
      </c>
      <c r="B301" s="5" t="s">
        <v>71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borussia-monchengladbach</v>
      </c>
      <c r="B302" s="2" t="s">
        <v>72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rb-leipzig</v>
      </c>
      <c r="B303" s="5" t="s">
        <v>73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vfb-stuttgart</v>
      </c>
      <c r="B305" s="5" t="s">
        <v>75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union-berlin</v>
      </c>
      <c r="B306" s="2" t="s">
        <v>76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arminia-bielefeld</v>
      </c>
      <c r="B308" s="2" t="s">
        <v>257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vfl-bochum</v>
      </c>
      <c r="B309" s="5" t="s">
        <v>62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eintracht-braunschweig</v>
      </c>
      <c r="B310" s="2" t="s">
        <v>258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darmstadt-98</v>
      </c>
      <c r="B311" s="5" t="s">
        <v>259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dynamo-dresden</v>
      </c>
      <c r="B312" s="2" t="s">
        <v>260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fortuna-dusseldorf</v>
      </c>
      <c r="B313" s="5" t="s">
        <v>261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sv-elversberg</v>
      </c>
      <c r="B314" s="2" t="s">
        <v>262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greuther-furth</v>
      </c>
      <c r="B315" s="5" t="s">
        <v>263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hannover-96</v>
      </c>
      <c r="B316" s="2" t="s">
        <v>264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hertha-berlin</v>
      </c>
      <c r="B317" s="5" t="s">
        <v>265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fc-kaiserslautern</v>
      </c>
      <c r="B318" s="2" t="s">
        <v>266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karlsruher-sc</v>
      </c>
      <c r="B319" s="5" t="s">
        <v>267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holstein-kiel</v>
      </c>
      <c r="B320" s="2" t="s">
        <v>69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fc-magdeburg</v>
      </c>
      <c r="B321" s="5" t="s">
        <v>268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preussen-munster</v>
      </c>
      <c r="B322" s="2" t="s">
        <v>269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fc-nurnberg</v>
      </c>
      <c r="B323" s="5" t="s">
        <v>270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sc-paderborn</v>
      </c>
      <c r="B324" s="2" t="s">
        <v>271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schalke-04</v>
      </c>
      <c r="B325" s="5" t="s">
        <v>272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aek-athens-fc</v>
      </c>
      <c r="B326" s="5" t="s">
        <v>522</v>
      </c>
      <c r="C326" t="str">
        <f>_xlfn.TEXTBEFORE(_xlfn.TEXTAFTER(Tabla1[[#This Row],[ENLACE]],"/",1),"/")</f>
        <v>greece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ael-fc</v>
      </c>
      <c r="B327" s="5" t="s">
        <v>523</v>
      </c>
      <c r="C327" t="str">
        <f>_xlfn.TEXTBEFORE(_xlfn.TEXTAFTER(Tabla1[[#This Row],[ENLACE]],"/",1),"/")</f>
        <v>greece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aris-thessaloniki-fc</v>
      </c>
      <c r="B328" s="5" t="s">
        <v>524</v>
      </c>
      <c r="C328" t="str">
        <f>_xlfn.TEXTBEFORE(_xlfn.TEXTAFTER(Tabla1[[#This Row],[ENLACE]],"/",1),"/")</f>
        <v>greece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asteras-tripolis-fc</v>
      </c>
      <c r="B329" s="5" t="s">
        <v>525</v>
      </c>
      <c r="C329" t="str">
        <f>_xlfn.TEXTBEFORE(_xlfn.TEXTAFTER(Tabla1[[#This Row],[ENLACE]],"/",1),"/")</f>
        <v>greece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atromitos-fc</v>
      </c>
      <c r="B330" s="5" t="s">
        <v>526</v>
      </c>
      <c r="C330" t="str">
        <f>_xlfn.TEXTBEFORE(_xlfn.TEXTAFTER(Tabla1[[#This Row],[ENLACE]],"/",1),"/")</f>
        <v>greece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ae-kifisia-fc</v>
      </c>
      <c r="B331" s="5" t="s">
        <v>527</v>
      </c>
      <c r="C331" t="str">
        <f>_xlfn.TEXTBEFORE(_xlfn.TEXTAFTER(Tabla1[[#This Row],[ENLACE]],"/",1),"/")</f>
        <v>greece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levadiakos-fc</v>
      </c>
      <c r="B332" s="5" t="s">
        <v>528</v>
      </c>
      <c r="C332" t="str">
        <f>_xlfn.TEXTBEFORE(_xlfn.TEXTAFTER(Tabla1[[#This Row],[ENLACE]],"/",1),"/")</f>
        <v>greece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ofi-crete-fc</v>
      </c>
      <c r="B333" s="5" t="s">
        <v>529</v>
      </c>
      <c r="C333" t="str">
        <f>_xlfn.TEXTBEFORE(_xlfn.TEXTAFTER(Tabla1[[#This Row],[ENLACE]],"/",1),"/")</f>
        <v>greece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olympiacos-fc</v>
      </c>
      <c r="B334" s="5" t="s">
        <v>530</v>
      </c>
      <c r="C334" t="str">
        <f>_xlfn.TEXTBEFORE(_xlfn.TEXTAFTER(Tabla1[[#This Row],[ENLACE]],"/",1),"/")</f>
        <v>greece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panathinaikos-fc</v>
      </c>
      <c r="B335" s="5" t="s">
        <v>531</v>
      </c>
      <c r="C335" t="str">
        <f>_xlfn.TEXTBEFORE(_xlfn.TEXTAFTER(Tabla1[[#This Row],[ENLACE]],"/",1),"/")</f>
        <v>greece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panetolikos-fc</v>
      </c>
      <c r="B336" s="5" t="s">
        <v>532</v>
      </c>
      <c r="C336" t="str">
        <f>_xlfn.TEXTBEFORE(_xlfn.TEXTAFTER(Tabla1[[#This Row],[ENLACE]],"/",1),"/")</f>
        <v>greece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panserraikos-fc</v>
      </c>
      <c r="B337" s="5" t="s">
        <v>533</v>
      </c>
      <c r="C337" t="str">
        <f>_xlfn.TEXTBEFORE(_xlfn.TEXTAFTER(Tabla1[[#This Row],[ENLACE]],"/",1),"/")</f>
        <v>greece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paok-fc</v>
      </c>
      <c r="B338" s="5" t="s">
        <v>534</v>
      </c>
      <c r="C338" t="str">
        <f>_xlfn.TEXTBEFORE(_xlfn.TEXTAFTER(Tabla1[[#This Row],[ENLACE]],"/",1),"/")</f>
        <v>greece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volos-fc</v>
      </c>
      <c r="B339" s="5" t="s">
        <v>535</v>
      </c>
      <c r="C339" t="str">
        <f>_xlfn.TEXTBEFORE(_xlfn.TEXTAFTER(Tabla1[[#This Row],[ENLACE]],"/",1),"/")</f>
        <v>greece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ac-milan</v>
      </c>
      <c r="B340" s="2" t="s">
        <v>273</v>
      </c>
      <c r="C340" t="str">
        <f>_xlfn.TEXTBEFORE(_xlfn.TEXTAFTER(Tabla1[[#This Row],[ENLACE]],"/",1),"/")</f>
        <v>italy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as-roma</v>
      </c>
      <c r="B341" s="5" t="s">
        <v>274</v>
      </c>
      <c r="C341" t="str">
        <f>_xlfn.TEXTBEFORE(_xlfn.TEXTAFTER(Tabla1[[#This Row],[ENLACE]],"/",1),"/")</f>
        <v>italy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atalanta-bc</v>
      </c>
      <c r="B342" s="2" t="s">
        <v>275</v>
      </c>
      <c r="C342" t="str">
        <f>_xlfn.TEXTBEFORE(_xlfn.TEXTAFTER(Tabla1[[#This Row],[ENLACE]],"/",1),"/")</f>
        <v>italy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bologna-fc-1909</v>
      </c>
      <c r="B343" s="5" t="s">
        <v>276</v>
      </c>
      <c r="C343" t="str">
        <f>_xlfn.TEXTBEFORE(_xlfn.TEXTAFTER(Tabla1[[#This Row],[ENLACE]],"/",1),"/")</f>
        <v>italy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cagliari-calcio</v>
      </c>
      <c r="B344" s="2" t="s">
        <v>277</v>
      </c>
      <c r="C344" t="str">
        <f>_xlfn.TEXTBEFORE(_xlfn.TEXTAFTER(Tabla1[[#This Row],[ENLACE]],"/",1),"/")</f>
        <v>italy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como-1907</v>
      </c>
      <c r="B345" s="5" t="s">
        <v>278</v>
      </c>
      <c r="C345" t="str">
        <f>_xlfn.TEXTBEFORE(_xlfn.TEXTAFTER(Tabla1[[#This Row],[ENLACE]],"/",1),"/")</f>
        <v>italy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us-cremonese</v>
      </c>
      <c r="B346" s="2" t="s">
        <v>513</v>
      </c>
      <c r="C346" t="str">
        <f>_xlfn.TEXTBEFORE(_xlfn.TEXTAFTER(Tabla1[[#This Row],[ENLACE]],"/",1),"/")</f>
        <v>italy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acf-fiorentina</v>
      </c>
      <c r="B347" s="5" t="s">
        <v>279</v>
      </c>
      <c r="C347" t="str">
        <f>_xlfn.TEXTBEFORE(_xlfn.TEXTAFTER(Tabla1[[#This Row],[ENLACE]],"/",1),"/")</f>
        <v>italy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genoa-cfc</v>
      </c>
      <c r="B348" s="2" t="s">
        <v>280</v>
      </c>
      <c r="C348" t="str">
        <f>_xlfn.TEXTBEFORE(_xlfn.TEXTAFTER(Tabla1[[#This Row],[ENLACE]],"/",1),"/")</f>
        <v>italy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inter-milan</v>
      </c>
      <c r="B349" s="5" t="s">
        <v>281</v>
      </c>
      <c r="C349" t="str">
        <f>_xlfn.TEXTBEFORE(_xlfn.TEXTAFTER(Tabla1[[#This Row],[ENLACE]],"/",1),"/")</f>
        <v>italy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juventus-fc</v>
      </c>
      <c r="B350" s="2" t="s">
        <v>282</v>
      </c>
      <c r="C350" t="str">
        <f>_xlfn.TEXTBEFORE(_xlfn.TEXTAFTER(Tabla1[[#This Row],[ENLACE]],"/",1),"/")</f>
        <v>italy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ss-lazio</v>
      </c>
      <c r="B351" s="5" t="s">
        <v>283</v>
      </c>
      <c r="C351" t="str">
        <f>_xlfn.TEXTBEFORE(_xlfn.TEXTAFTER(Tabla1[[#This Row],[ENLACE]],"/",1),"/")</f>
        <v>italy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us-lecce</v>
      </c>
      <c r="B352" s="2" t="s">
        <v>284</v>
      </c>
      <c r="C352" t="str">
        <f>_xlfn.TEXTBEFORE(_xlfn.TEXTAFTER(Tabla1[[#This Row],[ENLACE]],"/",1),"/")</f>
        <v>italy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ssc-napoli</v>
      </c>
      <c r="B353" s="5" t="s">
        <v>285</v>
      </c>
      <c r="C353" t="str">
        <f>_xlfn.TEXTBEFORE(_xlfn.TEXTAFTER(Tabla1[[#This Row],[ENLACE]],"/",1),"/")</f>
        <v>italy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parma-calcio-1913</v>
      </c>
      <c r="B354" s="2" t="s">
        <v>286</v>
      </c>
      <c r="C354" t="str">
        <f>_xlfn.TEXTBEFORE(_xlfn.TEXTAFTER(Tabla1[[#This Row],[ENLACE]],"/",1),"/")</f>
        <v>italy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ac-pisa-1909</v>
      </c>
      <c r="B355" s="5" t="s">
        <v>514</v>
      </c>
      <c r="C355" t="str">
        <f>_xlfn.TEXTBEFORE(_xlfn.TEXTAFTER(Tabla1[[#This Row],[ENLACE]],"/",1),"/")</f>
        <v>italy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us-sassuolo-calcio</v>
      </c>
      <c r="B356" s="2" t="s">
        <v>515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torino-fc</v>
      </c>
      <c r="B357" s="5" t="s">
        <v>287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udinese-calcio</v>
      </c>
      <c r="B358" s="2" t="s">
        <v>288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hellas-verona-fc</v>
      </c>
      <c r="B359" s="5" t="s">
        <v>289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atletico-san-luis</v>
      </c>
      <c r="B360" s="2" t="s">
        <v>290</v>
      </c>
      <c r="C360" t="str">
        <f>_xlfn.TEXTBEFORE(_xlfn.TEXTAFTER(Tabla1[[#This Row],[ENLACE]],"/",1),"/")</f>
        <v>mexico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atlas-fc</v>
      </c>
      <c r="B361" s="5" t="s">
        <v>291</v>
      </c>
      <c r="C361" t="str">
        <f>_xlfn.TEXTBEFORE(_xlfn.TEXTAFTER(Tabla1[[#This Row],[ENLACE]],"/",1),"/")</f>
        <v>mexico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club-america</v>
      </c>
      <c r="B362" s="2" t="s">
        <v>292</v>
      </c>
      <c r="C362" t="str">
        <f>_xlfn.TEXTBEFORE(_xlfn.TEXTAFTER(Tabla1[[#This Row],[ENLACE]],"/",1),"/")</f>
        <v>mexico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cruz-azul</v>
      </c>
      <c r="B363" s="5" t="s">
        <v>293</v>
      </c>
      <c r="C363" t="str">
        <f>_xlfn.TEXTBEFORE(_xlfn.TEXTAFTER(Tabla1[[#This Row],[ENLACE]],"/",1),"/")</f>
        <v>mexico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cd-guadalajara</v>
      </c>
      <c r="B364" s="2" t="s">
        <v>294</v>
      </c>
      <c r="C364" t="str">
        <f>_xlfn.TEXTBEFORE(_xlfn.TEXTAFTER(Tabla1[[#This Row],[ENLACE]],"/",1),"/")</f>
        <v>mexico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fc-juarez</v>
      </c>
      <c r="B365" s="5" t="s">
        <v>295</v>
      </c>
      <c r="C365" t="str">
        <f>_xlfn.TEXTBEFORE(_xlfn.TEXTAFTER(Tabla1[[#This Row],[ENLACE]],"/",1),"/")</f>
        <v>mexico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club-leon</v>
      </c>
      <c r="B366" s="2" t="s">
        <v>296</v>
      </c>
      <c r="C366" t="str">
        <f>_xlfn.TEXTBEFORE(_xlfn.TEXTAFTER(Tabla1[[#This Row],[ENLACE]],"/",1),"/")</f>
        <v>mexico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mazatlan-fc</v>
      </c>
      <c r="B367" s="5" t="s">
        <v>297</v>
      </c>
      <c r="C367" t="str">
        <f>_xlfn.TEXTBEFORE(_xlfn.TEXTAFTER(Tabla1[[#This Row],[ENLACE]],"/",1),"/")</f>
        <v>mexico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cf-monterrey</v>
      </c>
      <c r="B368" s="2" t="s">
        <v>298</v>
      </c>
      <c r="C368" t="str">
        <f>_xlfn.TEXTBEFORE(_xlfn.TEXTAFTER(Tabla1[[#This Row],[ENLACE]],"/",1),"/")</f>
        <v>mexico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club-necaxa</v>
      </c>
      <c r="B369" s="5" t="s">
        <v>299</v>
      </c>
      <c r="C369" t="str">
        <f>_xlfn.TEXTBEFORE(_xlfn.TEXTAFTER(Tabla1[[#This Row],[ENLACE]],"/",1),"/")</f>
        <v>mexico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cf-pachuca</v>
      </c>
      <c r="B370" s="2" t="s">
        <v>300</v>
      </c>
      <c r="C370" t="str">
        <f>_xlfn.TEXTBEFORE(_xlfn.TEXTAFTER(Tabla1[[#This Row],[ENLACE]],"/",1),"/")</f>
        <v>mexico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club-puebla</v>
      </c>
      <c r="B371" s="5" t="s">
        <v>301</v>
      </c>
      <c r="C371" t="str">
        <f>_xlfn.TEXTBEFORE(_xlfn.TEXTAFTER(Tabla1[[#This Row],[ENLACE]],"/",1),"/")</f>
        <v>mexico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queretaro-fc</v>
      </c>
      <c r="B372" s="2" t="s">
        <v>302</v>
      </c>
      <c r="C372" t="str">
        <f>_xlfn.TEXTBEFORE(_xlfn.TEXTAFTER(Tabla1[[#This Row],[ENLACE]],"/",1),"/")</f>
        <v>mexico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santos-laguna</v>
      </c>
      <c r="B373" s="5" t="s">
        <v>303</v>
      </c>
      <c r="C373" t="str">
        <f>_xlfn.TEXTBEFORE(_xlfn.TEXTAFTER(Tabla1[[#This Row],[ENLACE]],"/",1),"/")</f>
        <v>mexico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tigres-uanl</v>
      </c>
      <c r="B374" s="2" t="s">
        <v>304</v>
      </c>
      <c r="C374" t="str">
        <f>_xlfn.TEXTBEFORE(_xlfn.TEXTAFTER(Tabla1[[#This Row],[ENLACE]],"/",1),"/")</f>
        <v>mexico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club-tijuana</v>
      </c>
      <c r="B375" s="5" t="s">
        <v>305</v>
      </c>
      <c r="C375" t="str">
        <f>_xlfn.TEXTBEFORE(_xlfn.TEXTAFTER(Tabla1[[#This Row],[ENLACE]],"/",1),"/")</f>
        <v>mexico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deportivo-toluca-fc</v>
      </c>
      <c r="B376" s="2" t="s">
        <v>306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unam</v>
      </c>
      <c r="B377" s="5" t="s">
        <v>307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afc-ajax</v>
      </c>
      <c r="B378" s="2" t="s">
        <v>308</v>
      </c>
      <c r="C378" t="str">
        <f>_xlfn.TEXTBEFORE(_xlfn.TEXTAFTER(Tabla1[[#This Row],[ENLACE]],"/",1),"/")</f>
        <v>netherlands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az-alkmaar</v>
      </c>
      <c r="B379" s="5" t="s">
        <v>309</v>
      </c>
      <c r="C379" t="str">
        <f>_xlfn.TEXTBEFORE(_xlfn.TEXTAFTER(Tabla1[[#This Row],[ENLACE]],"/",1),"/")</f>
        <v>netherlands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sbv-excelsior</v>
      </c>
      <c r="B380" s="2" t="s">
        <v>310</v>
      </c>
      <c r="C380" t="str">
        <f>_xlfn.TEXTBEFORE(_xlfn.TEXTAFTER(Tabla1[[#This Row],[ENLACE]],"/",1),"/")</f>
        <v>netherlands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fc-volendam</v>
      </c>
      <c r="B381" s="5" t="s">
        <v>311</v>
      </c>
      <c r="C381" t="str">
        <f>_xlfn.TEXTBEFORE(_xlfn.TEXTAFTER(Tabla1[[#This Row],[ENLACE]],"/",1),"/")</f>
        <v>netherlands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feyenoord-rotterdam</v>
      </c>
      <c r="B382" s="2" t="s">
        <v>312</v>
      </c>
      <c r="C382" t="str">
        <f>_xlfn.TEXTBEFORE(_xlfn.TEXTAFTER(Tabla1[[#This Row],[ENLACE]],"/",1),"/")</f>
        <v>netherlands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go-ahead-eagles</v>
      </c>
      <c r="B383" s="5" t="s">
        <v>313</v>
      </c>
      <c r="C383" t="str">
        <f>_xlfn.TEXTBEFORE(_xlfn.TEXTAFTER(Tabla1[[#This Row],[ENLACE]],"/",1),"/")</f>
        <v>netherlands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fc-groningen</v>
      </c>
      <c r="B384" s="2" t="s">
        <v>314</v>
      </c>
      <c r="C384" t="str">
        <f>_xlfn.TEXTBEFORE(_xlfn.TEXTAFTER(Tabla1[[#This Row],[ENLACE]],"/",1),"/")</f>
        <v>netherlands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sc-heerenveen</v>
      </c>
      <c r="B385" s="5" t="s">
        <v>315</v>
      </c>
      <c r="C385" t="str">
        <f>_xlfn.TEXTBEFORE(_xlfn.TEXTAFTER(Tabla1[[#This Row],[ENLACE]],"/",1),"/")</f>
        <v>netherlands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heracles-almelo</v>
      </c>
      <c r="B386" s="2" t="s">
        <v>316</v>
      </c>
      <c r="C386" t="str">
        <f>_xlfn.TEXTBEFORE(_xlfn.TEXTAFTER(Tabla1[[#This Row],[ENLACE]],"/",1),"/")</f>
        <v>netherlands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nac-breda</v>
      </c>
      <c r="B387" s="5" t="s">
        <v>317</v>
      </c>
      <c r="C387" t="str">
        <f>_xlfn.TEXTBEFORE(_xlfn.TEXTAFTER(Tabla1[[#This Row],[ENLACE]],"/",1),"/")</f>
        <v>netherlands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nec-nijmegen</v>
      </c>
      <c r="B388" s="2" t="s">
        <v>318</v>
      </c>
      <c r="C388" t="str">
        <f>_xlfn.TEXTBEFORE(_xlfn.TEXTAFTER(Tabla1[[#This Row],[ENLACE]],"/",1),"/")</f>
        <v>netherlands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psv-eindhoven</v>
      </c>
      <c r="B389" s="5" t="s">
        <v>319</v>
      </c>
      <c r="C389" t="str">
        <f>_xlfn.TEXTBEFORE(_xlfn.TEXTAFTER(Tabla1[[#This Row],[ENLACE]],"/",1),"/")</f>
        <v>netherlands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fortuna-sittard</v>
      </c>
      <c r="B390" s="2" t="s">
        <v>320</v>
      </c>
      <c r="C390" t="str">
        <f>_xlfn.TEXTBEFORE(_xlfn.TEXTAFTER(Tabla1[[#This Row],[ENLACE]],"/",1),"/")</f>
        <v>netherlands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sparta-rotterdam</v>
      </c>
      <c r="B391" s="5" t="s">
        <v>321</v>
      </c>
      <c r="C391" t="str">
        <f>_xlfn.TEXTBEFORE(_xlfn.TEXTAFTER(Tabla1[[#This Row],[ENLACE]],"/",1),"/")</f>
        <v>netherlands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sc-telstar</v>
      </c>
      <c r="B392" s="2" t="s">
        <v>322</v>
      </c>
      <c r="C392" t="str">
        <f>_xlfn.TEXTBEFORE(_xlfn.TEXTAFTER(Tabla1[[#This Row],[ENLACE]],"/",1),"/")</f>
        <v>netherlands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fc-twente</v>
      </c>
      <c r="B393" s="5" t="s">
        <v>323</v>
      </c>
      <c r="C393" t="str">
        <f>_xlfn.TEXTBEFORE(_xlfn.TEXTAFTER(Tabla1[[#This Row],[ENLACE]],"/",1),"/")</f>
        <v>netherlands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fc-utrecht</v>
      </c>
      <c r="B394" s="2" t="s">
        <v>324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pec-zwolle</v>
      </c>
      <c r="B395" s="5" t="s">
        <v>325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fk-bodo-glimt</v>
      </c>
      <c r="B396" s="2" t="s">
        <v>326</v>
      </c>
      <c r="C396" t="str">
        <f>_xlfn.TEXTBEFORE(_xlfn.TEXTAFTER(Tabla1[[#This Row],[ENLACE]],"/",1),"/")</f>
        <v>norway</v>
      </c>
      <c r="D396" s="8" t="str">
        <f ca="1">IF(VLOOKUP(Tabla1[[#This Row],[PAIS]],$G$2:$H$34,2)="x","SI","NO")</f>
        <v>SI</v>
      </c>
    </row>
    <row r="397" spans="1:4" x14ac:dyDescent="0.3">
      <c r="A397" t="str">
        <f>MID(Tabla1[[#This Row],[ENLACE]],FIND("~",SUBSTITUTE(Tabla1[[#This Row],[ENLACE]],"/","~",2))+1,LEN(Tabla1[[#This Row],[ENLACE]]))</f>
        <v>sk-brann</v>
      </c>
      <c r="B397" s="5" t="s">
        <v>327</v>
      </c>
      <c r="C397" t="str">
        <f>_xlfn.TEXTBEFORE(_xlfn.TEXTAFTER(Tabla1[[#This Row],[ENLACE]],"/",1),"/")</f>
        <v>norway</v>
      </c>
      <c r="D397" s="8" t="str">
        <f ca="1">IF(VLOOKUP(Tabla1[[#This Row],[PAIS]],$G$2:$H$34,2)="x","SI","NO")</f>
        <v>SI</v>
      </c>
    </row>
    <row r="398" spans="1:4" x14ac:dyDescent="0.3">
      <c r="A398" t="str">
        <f>MID(Tabla1[[#This Row],[ENLACE]],FIND("~",SUBSTITUTE(Tabla1[[#This Row],[ENLACE]],"/","~",2))+1,LEN(Tabla1[[#This Row],[ENLACE]]))</f>
        <v>bryne-fk</v>
      </c>
      <c r="B398" s="2" t="s">
        <v>328</v>
      </c>
      <c r="C398" t="str">
        <f>_xlfn.TEXTBEFORE(_xlfn.TEXTAFTER(Tabla1[[#This Row],[ENLACE]],"/",1),"/")</f>
        <v>norway</v>
      </c>
      <c r="D398" s="8" t="str">
        <f ca="1">IF(VLOOKUP(Tabla1[[#This Row],[PAIS]],$G$2:$H$34,2)="x","SI","NO")</f>
        <v>SI</v>
      </c>
    </row>
    <row r="399" spans="1:4" x14ac:dyDescent="0.3">
      <c r="A399" t="str">
        <f>MID(Tabla1[[#This Row],[ENLACE]],FIND("~",SUBSTITUTE(Tabla1[[#This Row],[ENLACE]],"/","~",2))+1,LEN(Tabla1[[#This Row],[ENLACE]]))</f>
        <v>fredrikstad-fk</v>
      </c>
      <c r="B399" s="5" t="s">
        <v>329</v>
      </c>
      <c r="C399" t="str">
        <f>_xlfn.TEXTBEFORE(_xlfn.TEXTAFTER(Tabla1[[#This Row],[ENLACE]],"/",1),"/")</f>
        <v>norway</v>
      </c>
      <c r="D399" s="8" t="str">
        <f ca="1">IF(VLOOKUP(Tabla1[[#This Row],[PAIS]],$G$2:$H$34,2)="x","SI","NO")</f>
        <v>SI</v>
      </c>
    </row>
    <row r="400" spans="1:4" x14ac:dyDescent="0.3">
      <c r="A400" t="str">
        <f>MID(Tabla1[[#This Row],[ENLACE]],FIND("~",SUBSTITUTE(Tabla1[[#This Row],[ENLACE]],"/","~",2))+1,LEN(Tabla1[[#This Row],[ENLACE]]))</f>
        <v>ham-kam</v>
      </c>
      <c r="B400" s="2" t="s">
        <v>330</v>
      </c>
      <c r="C400" t="str">
        <f>_xlfn.TEXTBEFORE(_xlfn.TEXTAFTER(Tabla1[[#This Row],[ENLACE]],"/",1),"/")</f>
        <v>norway</v>
      </c>
      <c r="D400" s="8" t="str">
        <f ca="1">IF(VLOOKUP(Tabla1[[#This Row],[PAIS]],$G$2:$H$34,2)="x","SI","NO")</f>
        <v>SI</v>
      </c>
    </row>
    <row r="401" spans="1:4" x14ac:dyDescent="0.3">
      <c r="A401" t="str">
        <f>MID(Tabla1[[#This Row],[ENLACE]],FIND("~",SUBSTITUTE(Tabla1[[#This Row],[ENLACE]],"/","~",2))+1,LEN(Tabla1[[#This Row],[ENLACE]]))</f>
        <v>fk-haugesund</v>
      </c>
      <c r="B401" s="5" t="s">
        <v>331</v>
      </c>
      <c r="C401" t="str">
        <f>_xlfn.TEXTBEFORE(_xlfn.TEXTAFTER(Tabla1[[#This Row],[ENLACE]],"/",1),"/")</f>
        <v>norway</v>
      </c>
      <c r="D401" s="8" t="str">
        <f ca="1">IF(VLOOKUP(Tabla1[[#This Row],[PAIS]],$G$2:$H$34,2)="x","SI","NO")</f>
        <v>SI</v>
      </c>
    </row>
    <row r="402" spans="1:4" x14ac:dyDescent="0.3">
      <c r="A402" t="str">
        <f>MID(Tabla1[[#This Row],[ENLACE]],FIND("~",SUBSTITUTE(Tabla1[[#This Row],[ENLACE]],"/","~",2))+1,LEN(Tabla1[[#This Row],[ENLACE]]))</f>
        <v>kfum-kameratene-oslo</v>
      </c>
      <c r="B402" s="2" t="s">
        <v>332</v>
      </c>
      <c r="C402" t="str">
        <f>_xlfn.TEXTBEFORE(_xlfn.TEXTAFTER(Tabla1[[#This Row],[ENLACE]],"/",1),"/")</f>
        <v>norway</v>
      </c>
      <c r="D402" s="8" t="str">
        <f ca="1">IF(VLOOKUP(Tabla1[[#This Row],[PAIS]],$G$2:$H$34,2)="x","SI","NO")</f>
        <v>SI</v>
      </c>
    </row>
    <row r="403" spans="1:4" x14ac:dyDescent="0.3">
      <c r="A403" t="str">
        <f>MID(Tabla1[[#This Row],[ENLACE]],FIND("~",SUBSTITUTE(Tabla1[[#This Row],[ENLACE]],"/","~",2))+1,LEN(Tabla1[[#This Row],[ENLACE]]))</f>
        <v>kristiansund-bk</v>
      </c>
      <c r="B403" s="5" t="s">
        <v>333</v>
      </c>
      <c r="C403" t="str">
        <f>_xlfn.TEXTBEFORE(_xlfn.TEXTAFTER(Tabla1[[#This Row],[ENLACE]],"/",1),"/")</f>
        <v>norway</v>
      </c>
      <c r="D403" s="8" t="str">
        <f ca="1">IF(VLOOKUP(Tabla1[[#This Row],[PAIS]],$G$2:$H$34,2)="x","SI","NO")</f>
        <v>SI</v>
      </c>
    </row>
    <row r="404" spans="1:4" x14ac:dyDescent="0.3">
      <c r="A404" t="str">
        <f>MID(Tabla1[[#This Row],[ENLACE]],FIND("~",SUBSTITUTE(Tabla1[[#This Row],[ENLACE]],"/","~",2))+1,LEN(Tabla1[[#This Row],[ENLACE]]))</f>
        <v>molde-fk</v>
      </c>
      <c r="B404" s="2" t="s">
        <v>334</v>
      </c>
      <c r="C404" t="str">
        <f>_xlfn.TEXTBEFORE(_xlfn.TEXTAFTER(Tabla1[[#This Row],[ENLACE]],"/",1),"/")</f>
        <v>norway</v>
      </c>
      <c r="D404" s="8" t="str">
        <f ca="1">IF(VLOOKUP(Tabla1[[#This Row],[PAIS]],$G$2:$H$34,2)="x","SI","NO")</f>
        <v>SI</v>
      </c>
    </row>
    <row r="405" spans="1:4" x14ac:dyDescent="0.3">
      <c r="A405" t="str">
        <f>MID(Tabla1[[#This Row],[ENLACE]],FIND("~",SUBSTITUTE(Tabla1[[#This Row],[ENLACE]],"/","~",2))+1,LEN(Tabla1[[#This Row],[ENLACE]]))</f>
        <v>rosenborg-bk</v>
      </c>
      <c r="B405" s="5" t="s">
        <v>335</v>
      </c>
      <c r="C405" t="str">
        <f>_xlfn.TEXTBEFORE(_xlfn.TEXTAFTER(Tabla1[[#This Row],[ENLACE]],"/",1),"/")</f>
        <v>norway</v>
      </c>
      <c r="D405" s="8" t="str">
        <f ca="1">IF(VLOOKUP(Tabla1[[#This Row],[PAIS]],$G$2:$H$34,2)="x","SI","NO")</f>
        <v>SI</v>
      </c>
    </row>
    <row r="406" spans="1:4" x14ac:dyDescent="0.3">
      <c r="A406" t="str">
        <f>MID(Tabla1[[#This Row],[ENLACE]],FIND("~",SUBSTITUTE(Tabla1[[#This Row],[ENLACE]],"/","~",2))+1,LEN(Tabla1[[#This Row],[ENLACE]]))</f>
        <v>sandefjord-fotball</v>
      </c>
      <c r="B406" s="2" t="s">
        <v>336</v>
      </c>
      <c r="C406" t="str">
        <f>_xlfn.TEXTBEFORE(_xlfn.TEXTAFTER(Tabla1[[#This Row],[ENLACE]],"/",1),"/")</f>
        <v>norway</v>
      </c>
      <c r="D406" s="8" t="str">
        <f ca="1">IF(VLOOKUP(Tabla1[[#This Row],[PAIS]],$G$2:$H$34,2)="x","SI","NO")</f>
        <v>SI</v>
      </c>
    </row>
    <row r="407" spans="1:4" x14ac:dyDescent="0.3">
      <c r="A407" t="str">
        <f>MID(Tabla1[[#This Row],[ENLACE]],FIND("~",SUBSTITUTE(Tabla1[[#This Row],[ENLACE]],"/","~",2))+1,LEN(Tabla1[[#This Row],[ENLACE]]))</f>
        <v>sarpsborg-08-ff</v>
      </c>
      <c r="B407" s="5" t="s">
        <v>337</v>
      </c>
      <c r="C407" t="str">
        <f>_xlfn.TEXTBEFORE(_xlfn.TEXTAFTER(Tabla1[[#This Row],[ENLACE]],"/",1),"/")</f>
        <v>norway</v>
      </c>
      <c r="D407" s="8" t="str">
        <f ca="1">IF(VLOOKUP(Tabla1[[#This Row],[PAIS]],$G$2:$H$34,2)="x","SI","NO")</f>
        <v>SI</v>
      </c>
    </row>
    <row r="408" spans="1:4" x14ac:dyDescent="0.3">
      <c r="A408" t="str">
        <f>MID(Tabla1[[#This Row],[ENLACE]],FIND("~",SUBSTITUTE(Tabla1[[#This Row],[ENLACE]],"/","~",2))+1,LEN(Tabla1[[#This Row],[ENLACE]]))</f>
        <v>stromsgodset</v>
      </c>
      <c r="B408" s="2" t="s">
        <v>338</v>
      </c>
      <c r="C408" t="str">
        <f>_xlfn.TEXTBEFORE(_xlfn.TEXTAFTER(Tabla1[[#This Row],[ENLACE]],"/",1),"/")</f>
        <v>norway</v>
      </c>
      <c r="D408" s="8" t="str">
        <f ca="1">IF(VLOOKUP(Tabla1[[#This Row],[PAIS]],$G$2:$H$34,2)="x","SI","NO")</f>
        <v>SI</v>
      </c>
    </row>
    <row r="409" spans="1:4" x14ac:dyDescent="0.3">
      <c r="A409" t="str">
        <f>MID(Tabla1[[#This Row],[ENLACE]],FIND("~",SUBSTITUTE(Tabla1[[#This Row],[ENLACE]],"/","~",2))+1,LEN(Tabla1[[#This Row],[ENLACE]]))</f>
        <v>tromso-il</v>
      </c>
      <c r="B409" s="5" t="s">
        <v>339</v>
      </c>
      <c r="C409" t="str">
        <f>_xlfn.TEXTBEFORE(_xlfn.TEXTAFTER(Tabla1[[#This Row],[ENLACE]],"/",1),"/")</f>
        <v>norway</v>
      </c>
      <c r="D409" s="8" t="str">
        <f ca="1">IF(VLOOKUP(Tabla1[[#This Row],[PAIS]],$G$2:$H$34,2)="x","SI","NO")</f>
        <v>SI</v>
      </c>
    </row>
    <row r="410" spans="1:4" x14ac:dyDescent="0.3">
      <c r="A410" t="str">
        <f>MID(Tabla1[[#This Row],[ENLACE]],FIND("~",SUBSTITUTE(Tabla1[[#This Row],[ENLACE]],"/","~",2))+1,LEN(Tabla1[[#This Row],[ENLACE]]))</f>
        <v>valerenga-fotball</v>
      </c>
      <c r="B410" s="2" t="s">
        <v>340</v>
      </c>
      <c r="C410" t="str">
        <f>_xlfn.TEXTBEFORE(_xlfn.TEXTAFTER(Tabla1[[#This Row],[ENLACE]],"/",1),"/")</f>
        <v>norway</v>
      </c>
      <c r="D410" s="8" t="str">
        <f ca="1">IF(VLOOKUP(Tabla1[[#This Row],[PAIS]],$G$2:$H$34,2)="x","SI","NO")</f>
        <v>SI</v>
      </c>
    </row>
    <row r="411" spans="1:4" x14ac:dyDescent="0.3">
      <c r="A411" t="str">
        <f>MID(Tabla1[[#This Row],[ENLACE]],FIND("~",SUBSTITUTE(Tabla1[[#This Row],[ENLACE]],"/","~",2))+1,LEN(Tabla1[[#This Row],[ENLACE]]))</f>
        <v>viking-fk</v>
      </c>
      <c r="B411" s="5" t="s">
        <v>341</v>
      </c>
      <c r="C411" t="str">
        <f>_xlfn.TEXTBEFORE(_xlfn.TEXTAFTER(Tabla1[[#This Row],[ENLACE]],"/",1),"/")</f>
        <v>norway</v>
      </c>
      <c r="D411" s="8" t="str">
        <f ca="1">IF(VLOOKUP(Tabla1[[#This Row],[PAIS]],$G$2:$H$34,2)="x","SI","NO")</f>
        <v>SI</v>
      </c>
    </row>
    <row r="412" spans="1:4" x14ac:dyDescent="0.3">
      <c r="A412" t="str">
        <f>MID(Tabla1[[#This Row],[ENLACE]],FIND("~",SUBSTITUTE(Tabla1[[#This Row],[ENLACE]],"/","~",2))+1,LEN(Tabla1[[#This Row],[ENLACE]]))</f>
        <v>alianza-lima</v>
      </c>
      <c r="B412" t="s">
        <v>342</v>
      </c>
      <c r="C412" t="str">
        <f>_xlfn.TEXTBEFORE(_xlfn.TEXTAFTER(Tabla1[[#This Row],[ENLACE]],"/",1),"/")</f>
        <v>peru</v>
      </c>
      <c r="D412" s="8" t="str">
        <f ca="1">IF(VLOOKUP(Tabla1[[#This Row],[PAIS]],$G$2:$H$34,2)="x","SI","NO")</f>
        <v>SI</v>
      </c>
    </row>
    <row r="413" spans="1:4" x14ac:dyDescent="0.3">
      <c r="A413" t="str">
        <f>MID(Tabla1[[#This Row],[ENLACE]],FIND("~",SUBSTITUTE(Tabla1[[#This Row],[ENLACE]],"/","~",2))+1,LEN(Tabla1[[#This Row],[ENLACE]]))</f>
        <v>asociacion-deportiva-tarma</v>
      </c>
      <c r="B413" t="s">
        <v>343</v>
      </c>
      <c r="C413" t="str">
        <f>_xlfn.TEXTBEFORE(_xlfn.TEXTAFTER(Tabla1[[#This Row],[ENLACE]],"/",1),"/")</f>
        <v>peru</v>
      </c>
      <c r="D413" s="8" t="str">
        <f ca="1">IF(VLOOKUP(Tabla1[[#This Row],[PAIS]],$G$2:$H$34,2)="x","SI","NO")</f>
        <v>SI</v>
      </c>
    </row>
    <row r="414" spans="1:4" x14ac:dyDescent="0.3">
      <c r="A414" t="str">
        <f>MID(Tabla1[[#This Row],[ENLACE]],FIND("~",SUBSTITUTE(Tabla1[[#This Row],[ENLACE]],"/","~",2))+1,LEN(Tabla1[[#This Row],[ENLACE]]))</f>
        <v>alianza-atletico</v>
      </c>
      <c r="B414" t="s">
        <v>344</v>
      </c>
      <c r="C414" t="str">
        <f>_xlfn.TEXTBEFORE(_xlfn.TEXTAFTER(Tabla1[[#This Row],[ENLACE]],"/",1),"/")</f>
        <v>peru</v>
      </c>
      <c r="D414" s="8" t="str">
        <f ca="1">IF(VLOOKUP(Tabla1[[#This Row],[PAIS]],$G$2:$H$34,2)="x","SI","NO")</f>
        <v>SI</v>
      </c>
    </row>
    <row r="415" spans="1:4" x14ac:dyDescent="0.3">
      <c r="A415" t="str">
        <f>MID(Tabla1[[#This Row],[ENLACE]],FIND("~",SUBSTITUTE(Tabla1[[#This Row],[ENLACE]],"/","~",2))+1,LEN(Tabla1[[#This Row],[ENLACE]]))</f>
        <v>universidad-tecnica-de-cajamarca</v>
      </c>
      <c r="B415" t="s">
        <v>345</v>
      </c>
      <c r="C415" t="str">
        <f>_xlfn.TEXTBEFORE(_xlfn.TEXTAFTER(Tabla1[[#This Row],[ENLACE]],"/",1),"/")</f>
        <v>peru</v>
      </c>
      <c r="D415" s="8" t="str">
        <f ca="1">IF(VLOOKUP(Tabla1[[#This Row],[PAIS]],$G$2:$H$34,2)="x","SI","NO")</f>
        <v>SI</v>
      </c>
    </row>
    <row r="416" spans="1:4" x14ac:dyDescent="0.3">
      <c r="A416" t="str">
        <f>MID(Tabla1[[#This Row],[ENLACE]],FIND("~",SUBSTITUTE(Tabla1[[#This Row],[ENLACE]],"/","~",2))+1,LEN(Tabla1[[#This Row],[ENLACE]]))</f>
        <v>club-sportivo-cienciano</v>
      </c>
      <c r="B416" t="s">
        <v>346</v>
      </c>
      <c r="C416" t="str">
        <f>_xlfn.TEXTBEFORE(_xlfn.TEXTAFTER(Tabla1[[#This Row],[ENLACE]],"/",1),"/")</f>
        <v>peru</v>
      </c>
      <c r="D416" s="8" t="str">
        <f ca="1">IF(VLOOKUP(Tabla1[[#This Row],[PAIS]],$G$2:$H$34,2)="x","SI","NO")</f>
        <v>SI</v>
      </c>
    </row>
    <row r="417" spans="1:4" x14ac:dyDescent="0.3">
      <c r="A417" t="str">
        <f>MID(Tabla1[[#This Row],[ENLACE]],FIND("~",SUBSTITUTE(Tabla1[[#This Row],[ENLACE]],"/","~",2))+1,LEN(Tabla1[[#This Row],[ENLACE]]))</f>
        <v>comerciantes-unidos</v>
      </c>
      <c r="B417" t="s">
        <v>347</v>
      </c>
      <c r="C417" t="str">
        <f>_xlfn.TEXTBEFORE(_xlfn.TEXTAFTER(Tabla1[[#This Row],[ENLACE]],"/",1),"/")</f>
        <v>peru</v>
      </c>
      <c r="D417" s="8" t="str">
        <f ca="1">IF(VLOOKUP(Tabla1[[#This Row],[PAIS]],$G$2:$H$34,2)="x","SI","NO")</f>
        <v>SI</v>
      </c>
    </row>
    <row r="418" spans="1:4" x14ac:dyDescent="0.3">
      <c r="A418" t="str">
        <f>MID(Tabla1[[#This Row],[ENLACE]],FIND("~",SUBSTITUTE(Tabla1[[#This Row],[ENLACE]],"/","~",2))+1,LEN(Tabla1[[#This Row],[ENLACE]]))</f>
        <v>cusco-fc</v>
      </c>
      <c r="B418" t="s">
        <v>348</v>
      </c>
      <c r="C418" t="str">
        <f>_xlfn.TEXTBEFORE(_xlfn.TEXTAFTER(Tabla1[[#This Row],[ENLACE]],"/",1),"/")</f>
        <v>peru</v>
      </c>
      <c r="D418" s="8" t="str">
        <f ca="1">IF(VLOOKUP(Tabla1[[#This Row],[PAIS]],$G$2:$H$34,2)="x","SI","NO")</f>
        <v>SI</v>
      </c>
    </row>
    <row r="419" spans="1:4" x14ac:dyDescent="0.3">
      <c r="A419" t="str">
        <f>MID(Tabla1[[#This Row],[ENLACE]],FIND("~",SUBSTITUTE(Tabla1[[#This Row],[ENLACE]],"/","~",2))+1,LEN(Tabla1[[#This Row],[ENLACE]]))</f>
        <v>deportivo-garcilaso</v>
      </c>
      <c r="B419" t="s">
        <v>349</v>
      </c>
      <c r="C419" t="str">
        <f>_xlfn.TEXTBEFORE(_xlfn.TEXTAFTER(Tabla1[[#This Row],[ENLACE]],"/",1),"/")</f>
        <v>peru</v>
      </c>
      <c r="D419" s="8" t="str">
        <f ca="1">IF(VLOOKUP(Tabla1[[#This Row],[PAIS]],$G$2:$H$34,2)="x","SI","NO")</f>
        <v>SI</v>
      </c>
    </row>
    <row r="420" spans="1:4" x14ac:dyDescent="0.3">
      <c r="A420" t="str">
        <f>MID(Tabla1[[#This Row],[ENLACE]],FIND("~",SUBSTITUTE(Tabla1[[#This Row],[ENLACE]],"/","~",2))+1,LEN(Tabla1[[#This Row],[ENLACE]]))</f>
        <v>fc-cajamarca</v>
      </c>
      <c r="B420" t="s">
        <v>586</v>
      </c>
      <c r="C420" t="str">
        <f>_xlfn.TEXTBEFORE(_xlfn.TEXTAFTER(Tabla1[[#This Row],[ENLACE]],"/",1),"/")</f>
        <v>peru</v>
      </c>
      <c r="D420" s="8" t="str">
        <f ca="1">IF(VLOOKUP(Tabla1[[#This Row],[PAIS]],$G$2:$H$34,2)="x","SI","NO")</f>
        <v>SI</v>
      </c>
    </row>
    <row r="421" spans="1:4" x14ac:dyDescent="0.3">
      <c r="A421" t="str">
        <f>MID(Tabla1[[#This Row],[ENLACE]],FIND("~",SUBSTITUTE(Tabla1[[#This Row],[ENLACE]],"/","~",2))+1,LEN(Tabla1[[#This Row],[ENLACE]]))</f>
        <v>atletico-grau</v>
      </c>
      <c r="B421" t="s">
        <v>350</v>
      </c>
      <c r="C421" t="str">
        <f>_xlfn.TEXTBEFORE(_xlfn.TEXTAFTER(Tabla1[[#This Row],[ENLACE]],"/",1),"/")</f>
        <v>peru</v>
      </c>
      <c r="D421" s="8" t="str">
        <f ca="1">IF(VLOOKUP(Tabla1[[#This Row],[PAIS]],$G$2:$H$34,2)="x","SI","NO")</f>
        <v>SI</v>
      </c>
    </row>
    <row r="422" spans="1:4" x14ac:dyDescent="0.3">
      <c r="A422" t="str">
        <f>MID(Tabla1[[#This Row],[ENLACE]],FIND("~",SUBSTITUTE(Tabla1[[#This Row],[ENLACE]],"/","~",2))+1,LEN(Tabla1[[#This Row],[ENLACE]]))</f>
        <v>sport-huancayo</v>
      </c>
      <c r="B422" t="s">
        <v>351</v>
      </c>
      <c r="C422" t="str">
        <f>_xlfn.TEXTBEFORE(_xlfn.TEXTAFTER(Tabla1[[#This Row],[ENLACE]],"/",1),"/")</f>
        <v>peru</v>
      </c>
      <c r="D422" s="8" t="str">
        <f ca="1">IF(VLOOKUP(Tabla1[[#This Row],[PAIS]],$G$2:$H$34,2)="x","SI","NO")</f>
        <v>SI</v>
      </c>
    </row>
    <row r="423" spans="1:4" x14ac:dyDescent="0.3">
      <c r="A423" t="str">
        <f>MID(Tabla1[[#This Row],[ENLACE]],FIND("~",SUBSTITUTE(Tabla1[[#This Row],[ENLACE]],"/","~",2))+1,LEN(Tabla1[[#This Row],[ENLACE]]))</f>
        <v>adc-juan-pablo-ii-college</v>
      </c>
      <c r="B423" t="s">
        <v>352</v>
      </c>
      <c r="C423" t="str">
        <f>_xlfn.TEXTBEFORE(_xlfn.TEXTAFTER(Tabla1[[#This Row],[ENLACE]],"/",1),"/")</f>
        <v>peru</v>
      </c>
      <c r="D423" s="8" t="str">
        <f ca="1">IF(VLOOKUP(Tabla1[[#This Row],[PAIS]],$G$2:$H$34,2)="x","SI","NO")</f>
        <v>SI</v>
      </c>
    </row>
    <row r="424" spans="1:4" x14ac:dyDescent="0.3">
      <c r="A424" t="str">
        <f>MID(Tabla1[[#This Row],[ENLACE]],FIND("~",SUBSTITUTE(Tabla1[[#This Row],[ENLACE]],"/","~",2))+1,LEN(Tabla1[[#This Row],[ENLACE]]))</f>
        <v>los-chankas-cyc</v>
      </c>
      <c r="B424" t="s">
        <v>353</v>
      </c>
      <c r="C424" t="str">
        <f>_xlfn.TEXTBEFORE(_xlfn.TEXTAFTER(Tabla1[[#This Row],[ENLACE]],"/",1),"/")</f>
        <v>peru</v>
      </c>
      <c r="D424" s="8" t="str">
        <f ca="1">IF(VLOOKUP(Tabla1[[#This Row],[PAIS]],$G$2:$H$34,2)="x","SI","NO")</f>
        <v>SI</v>
      </c>
    </row>
    <row r="425" spans="1:4" x14ac:dyDescent="0.3">
      <c r="A425" t="str">
        <f>MID(Tabla1[[#This Row],[ENLACE]],FIND("~",SUBSTITUTE(Tabla1[[#This Row],[ENLACE]],"/","~",2))+1,LEN(Tabla1[[#This Row],[ENLACE]]))</f>
        <v>fbc-melgar</v>
      </c>
      <c r="B425" t="s">
        <v>354</v>
      </c>
      <c r="C425" t="str">
        <f>_xlfn.TEXTBEFORE(_xlfn.TEXTAFTER(Tabla1[[#This Row],[ENLACE]],"/",1),"/")</f>
        <v>peru</v>
      </c>
      <c r="D425" s="8" t="str">
        <f ca="1">IF(VLOOKUP(Tabla1[[#This Row],[PAIS]],$G$2:$H$34,2)="x","SI","NO")</f>
        <v>SI</v>
      </c>
    </row>
    <row r="426" spans="1:4" x14ac:dyDescent="0.3">
      <c r="A426" t="str">
        <f>MID(Tabla1[[#This Row],[ENLACE]],FIND("~",SUBSTITUTE(Tabla1[[#This Row],[ENLACE]],"/","~",2))+1,LEN(Tabla1[[#This Row],[ENLACE]]))</f>
        <v>club-deportivo-moquegua</v>
      </c>
      <c r="B426" t="s">
        <v>587</v>
      </c>
      <c r="C426" t="str">
        <f>_xlfn.TEXTBEFORE(_xlfn.TEXTAFTER(Tabla1[[#This Row],[ENLACE]],"/",1),"/")</f>
        <v>peru</v>
      </c>
      <c r="D426" s="8" t="str">
        <f ca="1">IF(VLOOKUP(Tabla1[[#This Row],[PAIS]],$G$2:$H$34,2)="x","SI","NO")</f>
        <v>SI</v>
      </c>
    </row>
    <row r="427" spans="1:4" x14ac:dyDescent="0.3">
      <c r="A427" t="str">
        <f>MID(Tabla1[[#This Row],[ENLACE]],FIND("~",SUBSTITUTE(Tabla1[[#This Row],[ENLACE]],"/","~",2))+1,LEN(Tabla1[[#This Row],[ENLACE]]))</f>
        <v>sport-boys</v>
      </c>
      <c r="B427" t="s">
        <v>355</v>
      </c>
      <c r="C427" t="str">
        <f>_xlfn.TEXTBEFORE(_xlfn.TEXTAFTER(Tabla1[[#This Row],[ENLACE]],"/",1),"/")</f>
        <v>peru</v>
      </c>
      <c r="D427" s="8" t="str">
        <f ca="1">IF(VLOOKUP(Tabla1[[#This Row],[PAIS]],$G$2:$H$34,2)="x","SI","NO")</f>
        <v>SI</v>
      </c>
    </row>
    <row r="428" spans="1:4" x14ac:dyDescent="0.3">
      <c r="A428" t="str">
        <f>MID(Tabla1[[#This Row],[ENLACE]],FIND("~",SUBSTITUTE(Tabla1[[#This Row],[ENLACE]],"/","~",2))+1,LEN(Tabla1[[#This Row],[ENLACE]]))</f>
        <v>sporting-cristal</v>
      </c>
      <c r="B428" t="s">
        <v>356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SI</v>
      </c>
    </row>
    <row r="429" spans="1:4" x14ac:dyDescent="0.3">
      <c r="A429" t="str">
        <f>MID(Tabla1[[#This Row],[ENLACE]],FIND("~",SUBSTITUTE(Tabla1[[#This Row],[ENLACE]],"/","~",2))+1,LEN(Tabla1[[#This Row],[ENLACE]]))</f>
        <v>club-universitario-de-deportes</v>
      </c>
      <c r="B429" t="s">
        <v>357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SI</v>
      </c>
    </row>
    <row r="430" spans="1:4" x14ac:dyDescent="0.3">
      <c r="A430" t="str">
        <f>MID(Tabla1[[#This Row],[ENLACE]],FIND("~",SUBSTITUTE(Tabla1[[#This Row],[ENLACE]],"/","~",2))+1,LEN(Tabla1[[#This Row],[ENLACE]]))</f>
        <v>arka-gdynia</v>
      </c>
      <c r="B430" s="5" t="s">
        <v>358</v>
      </c>
      <c r="C430" t="str">
        <f>_xlfn.TEXTBEFORE(_xlfn.TEXTAFTER(Tabla1[[#This Row],[ENLACE]],"/",1),"/")</f>
        <v>poland</v>
      </c>
      <c r="D430" s="8" t="str">
        <f ca="1">IF(VLOOKUP(Tabla1[[#This Row],[PAIS]],$G$2:$H$34,2)="x","SI","NO")</f>
        <v>SI</v>
      </c>
    </row>
    <row r="431" spans="1:4" x14ac:dyDescent="0.3">
      <c r="A431" t="str">
        <f>MID(Tabla1[[#This Row],[ENLACE]],FIND("~",SUBSTITUTE(Tabla1[[#This Row],[ENLACE]],"/","~",2))+1,LEN(Tabla1[[#This Row],[ENLACE]]))</f>
        <v>cracovia</v>
      </c>
      <c r="B431" s="2" t="s">
        <v>359</v>
      </c>
      <c r="C431" t="str">
        <f>_xlfn.TEXTBEFORE(_xlfn.TEXTAFTER(Tabla1[[#This Row],[ENLACE]],"/",1),"/")</f>
        <v>poland</v>
      </c>
      <c r="D431" s="8" t="str">
        <f ca="1">IF(VLOOKUP(Tabla1[[#This Row],[PAIS]],$G$2:$H$34,2)="x","SI","NO")</f>
        <v>SI</v>
      </c>
    </row>
    <row r="432" spans="1:4" x14ac:dyDescent="0.3">
      <c r="A432" t="str">
        <f>MID(Tabla1[[#This Row],[ENLACE]],FIND("~",SUBSTITUTE(Tabla1[[#This Row],[ENLACE]],"/","~",2))+1,LEN(Tabla1[[#This Row],[ENLACE]]))</f>
        <v>gornik-zabrze</v>
      </c>
      <c r="B432" s="5" t="s">
        <v>360</v>
      </c>
      <c r="C432" t="str">
        <f>_xlfn.TEXTBEFORE(_xlfn.TEXTAFTER(Tabla1[[#This Row],[ENLACE]],"/",1),"/")</f>
        <v>poland</v>
      </c>
      <c r="D432" s="8" t="str">
        <f ca="1">IF(VLOOKUP(Tabla1[[#This Row],[PAIS]],$G$2:$H$34,2)="x","SI","NO")</f>
        <v>SI</v>
      </c>
    </row>
    <row r="433" spans="1:4" x14ac:dyDescent="0.3">
      <c r="A433" t="str">
        <f>MID(Tabla1[[#This Row],[ENLACE]],FIND("~",SUBSTITUTE(Tabla1[[#This Row],[ENLACE]],"/","~",2))+1,LEN(Tabla1[[#This Row],[ENLACE]]))</f>
        <v>jagiellona-bialystok</v>
      </c>
      <c r="B433" s="2" t="s">
        <v>361</v>
      </c>
      <c r="C433" t="str">
        <f>_xlfn.TEXTBEFORE(_xlfn.TEXTAFTER(Tabla1[[#This Row],[ENLACE]],"/",1),"/")</f>
        <v>poland</v>
      </c>
      <c r="D433" s="8" t="str">
        <f ca="1">IF(VLOOKUP(Tabla1[[#This Row],[PAIS]],$G$2:$H$34,2)="x","SI","NO")</f>
        <v>SI</v>
      </c>
    </row>
    <row r="434" spans="1:4" x14ac:dyDescent="0.3">
      <c r="A434" t="str">
        <f>MID(Tabla1[[#This Row],[ENLACE]],FIND("~",SUBSTITUTE(Tabla1[[#This Row],[ENLACE]],"/","~",2))+1,LEN(Tabla1[[#This Row],[ENLACE]]))</f>
        <v>gks-katowice</v>
      </c>
      <c r="B434" s="5" t="s">
        <v>362</v>
      </c>
      <c r="C434" t="str">
        <f>_xlfn.TEXTBEFORE(_xlfn.TEXTAFTER(Tabla1[[#This Row],[ENLACE]],"/",1),"/")</f>
        <v>poland</v>
      </c>
      <c r="D434" s="8" t="str">
        <f ca="1">IF(VLOOKUP(Tabla1[[#This Row],[PAIS]],$G$2:$H$34,2)="x","SI","NO")</f>
        <v>SI</v>
      </c>
    </row>
    <row r="435" spans="1:4" x14ac:dyDescent="0.3">
      <c r="A435" t="str">
        <f>MID(Tabla1[[#This Row],[ENLACE]],FIND("~",SUBSTITUTE(Tabla1[[#This Row],[ENLACE]],"/","~",2))+1,LEN(Tabla1[[#This Row],[ENLACE]]))</f>
        <v>korona-kielce</v>
      </c>
      <c r="B435" s="2" t="s">
        <v>363</v>
      </c>
      <c r="C435" t="str">
        <f>_xlfn.TEXTBEFORE(_xlfn.TEXTAFTER(Tabla1[[#This Row],[ENLACE]],"/",1),"/")</f>
        <v>poland</v>
      </c>
      <c r="D435" s="8" t="str">
        <f ca="1">IF(VLOOKUP(Tabla1[[#This Row],[PAIS]],$G$2:$H$34,2)="x","SI","NO")</f>
        <v>SI</v>
      </c>
    </row>
    <row r="436" spans="1:4" x14ac:dyDescent="0.3">
      <c r="A436" t="str">
        <f>MID(Tabla1[[#This Row],[ENLACE]],FIND("~",SUBSTITUTE(Tabla1[[#This Row],[ENLACE]],"/","~",2))+1,LEN(Tabla1[[#This Row],[ENLACE]]))</f>
        <v>lech-poznan</v>
      </c>
      <c r="B436" s="5" t="s">
        <v>364</v>
      </c>
      <c r="C436" t="str">
        <f>_xlfn.TEXTBEFORE(_xlfn.TEXTAFTER(Tabla1[[#This Row],[ENLACE]],"/",1),"/")</f>
        <v>poland</v>
      </c>
      <c r="D436" s="8" t="str">
        <f ca="1">IF(VLOOKUP(Tabla1[[#This Row],[PAIS]],$G$2:$H$34,2)="x","SI","NO")</f>
        <v>SI</v>
      </c>
    </row>
    <row r="437" spans="1:4" x14ac:dyDescent="0.3">
      <c r="A437" t="str">
        <f>MID(Tabla1[[#This Row],[ENLACE]],FIND("~",SUBSTITUTE(Tabla1[[#This Row],[ENLACE]],"/","~",2))+1,LEN(Tabla1[[#This Row],[ENLACE]]))</f>
        <v>lechia-gdansk</v>
      </c>
      <c r="B437" s="2" t="s">
        <v>365</v>
      </c>
      <c r="C437" t="str">
        <f>_xlfn.TEXTBEFORE(_xlfn.TEXTAFTER(Tabla1[[#This Row],[ENLACE]],"/",1),"/")</f>
        <v>poland</v>
      </c>
      <c r="D437" s="8" t="str">
        <f ca="1">IF(VLOOKUP(Tabla1[[#This Row],[PAIS]],$G$2:$H$34,2)="x","SI","NO")</f>
        <v>SI</v>
      </c>
    </row>
    <row r="438" spans="1:4" x14ac:dyDescent="0.3">
      <c r="A438" t="str">
        <f>MID(Tabla1[[#This Row],[ENLACE]],FIND("~",SUBSTITUTE(Tabla1[[#This Row],[ENLACE]],"/","~",2))+1,LEN(Tabla1[[#This Row],[ENLACE]]))</f>
        <v>legia-warsaw</v>
      </c>
      <c r="B438" s="5" t="s">
        <v>366</v>
      </c>
      <c r="C438" t="str">
        <f>_xlfn.TEXTBEFORE(_xlfn.TEXTAFTER(Tabla1[[#This Row],[ENLACE]],"/",1),"/")</f>
        <v>poland</v>
      </c>
      <c r="D438" s="8" t="str">
        <f ca="1">IF(VLOOKUP(Tabla1[[#This Row],[PAIS]],$G$2:$H$34,2)="x","SI","NO")</f>
        <v>SI</v>
      </c>
    </row>
    <row r="439" spans="1:4" x14ac:dyDescent="0.3">
      <c r="A439" t="str">
        <f>MID(Tabla1[[#This Row],[ENLACE]],FIND("~",SUBSTITUTE(Tabla1[[#This Row],[ENLACE]],"/","~",2))+1,LEN(Tabla1[[#This Row],[ENLACE]]))</f>
        <v>motor-lublin</v>
      </c>
      <c r="B439" s="2" t="s">
        <v>367</v>
      </c>
      <c r="C439" t="str">
        <f>_xlfn.TEXTBEFORE(_xlfn.TEXTAFTER(Tabla1[[#This Row],[ENLACE]],"/",1),"/")</f>
        <v>poland</v>
      </c>
      <c r="D439" s="8" t="str">
        <f ca="1">IF(VLOOKUP(Tabla1[[#This Row],[PAIS]],$G$2:$H$34,2)="x","SI","NO")</f>
        <v>SI</v>
      </c>
    </row>
    <row r="440" spans="1:4" x14ac:dyDescent="0.3">
      <c r="A440" t="str">
        <f>MID(Tabla1[[#This Row],[ENLACE]],FIND("~",SUBSTITUTE(Tabla1[[#This Row],[ENLACE]],"/","~",2))+1,LEN(Tabla1[[#This Row],[ENLACE]]))</f>
        <v>piast-gliwice</v>
      </c>
      <c r="B440" s="5" t="s">
        <v>368</v>
      </c>
      <c r="C440" t="str">
        <f>_xlfn.TEXTBEFORE(_xlfn.TEXTAFTER(Tabla1[[#This Row],[ENLACE]],"/",1),"/")</f>
        <v>poland</v>
      </c>
      <c r="D440" s="8" t="str">
        <f ca="1">IF(VLOOKUP(Tabla1[[#This Row],[PAIS]],$G$2:$H$34,2)="x","SI","NO")</f>
        <v>SI</v>
      </c>
    </row>
    <row r="441" spans="1:4" x14ac:dyDescent="0.3">
      <c r="A441" t="str">
        <f>MID(Tabla1[[#This Row],[ENLACE]],FIND("~",SUBSTITUTE(Tabla1[[#This Row],[ENLACE]],"/","~",2))+1,LEN(Tabla1[[#This Row],[ENLACE]]))</f>
        <v>mks-pogon-szczecin</v>
      </c>
      <c r="B441" s="2" t="s">
        <v>369</v>
      </c>
      <c r="C441" t="str">
        <f>_xlfn.TEXTBEFORE(_xlfn.TEXTAFTER(Tabla1[[#This Row],[ENLACE]],"/",1),"/")</f>
        <v>poland</v>
      </c>
      <c r="D441" s="8" t="str">
        <f ca="1">IF(VLOOKUP(Tabla1[[#This Row],[PAIS]],$G$2:$H$34,2)="x","SI","NO")</f>
        <v>SI</v>
      </c>
    </row>
    <row r="442" spans="1:4" x14ac:dyDescent="0.3">
      <c r="A442" t="str">
        <f>MID(Tabla1[[#This Row],[ENLACE]],FIND("~",SUBSTITUTE(Tabla1[[#This Row],[ENLACE]],"/","~",2))+1,LEN(Tabla1[[#This Row],[ENLACE]]))</f>
        <v>radomiak-radom</v>
      </c>
      <c r="B442" s="5" t="s">
        <v>370</v>
      </c>
      <c r="C442" t="str">
        <f>_xlfn.TEXTBEFORE(_xlfn.TEXTAFTER(Tabla1[[#This Row],[ENLACE]],"/",1),"/")</f>
        <v>poland</v>
      </c>
      <c r="D442" s="8" t="str">
        <f ca="1">IF(VLOOKUP(Tabla1[[#This Row],[PAIS]],$G$2:$H$34,2)="x","SI","NO")</f>
        <v>SI</v>
      </c>
    </row>
    <row r="443" spans="1:4" x14ac:dyDescent="0.3">
      <c r="A443" t="str">
        <f>MID(Tabla1[[#This Row],[ENLACE]],FIND("~",SUBSTITUTE(Tabla1[[#This Row],[ENLACE]],"/","~",2))+1,LEN(Tabla1[[#This Row],[ENLACE]]))</f>
        <v>rakow-czestochowa</v>
      </c>
      <c r="B443" s="2" t="s">
        <v>371</v>
      </c>
      <c r="C443" t="str">
        <f>_xlfn.TEXTBEFORE(_xlfn.TEXTAFTER(Tabla1[[#This Row],[ENLACE]],"/",1),"/")</f>
        <v>poland</v>
      </c>
      <c r="D443" s="8" t="str">
        <f ca="1">IF(VLOOKUP(Tabla1[[#This Row],[PAIS]],$G$2:$H$34,2)="x","SI","NO")</f>
        <v>SI</v>
      </c>
    </row>
    <row r="444" spans="1:4" x14ac:dyDescent="0.3">
      <c r="A444" t="str">
        <f>MID(Tabla1[[#This Row],[ENLACE]],FIND("~",SUBSTITUTE(Tabla1[[#This Row],[ENLACE]],"/","~",2))+1,LEN(Tabla1[[#This Row],[ENLACE]]))</f>
        <v>bruk-bet-termalica-nieciecza</v>
      </c>
      <c r="B444" s="5" t="s">
        <v>372</v>
      </c>
      <c r="C444" t="str">
        <f>_xlfn.TEXTBEFORE(_xlfn.TEXTAFTER(Tabla1[[#This Row],[ENLACE]],"/",1),"/")</f>
        <v>poland</v>
      </c>
      <c r="D444" s="8" t="str">
        <f ca="1">IF(VLOOKUP(Tabla1[[#This Row],[PAIS]],$G$2:$H$34,2)="x","SI","NO")</f>
        <v>SI</v>
      </c>
    </row>
    <row r="445" spans="1:4" x14ac:dyDescent="0.3">
      <c r="A445" t="str">
        <f>MID(Tabla1[[#This Row],[ENLACE]],FIND("~",SUBSTITUTE(Tabla1[[#This Row],[ENLACE]],"/","~",2))+1,LEN(Tabla1[[#This Row],[ENLACE]]))</f>
        <v>rts-widzew-lodz</v>
      </c>
      <c r="B445" s="2" t="s">
        <v>373</v>
      </c>
      <c r="C445" t="str">
        <f>_xlfn.TEXTBEFORE(_xlfn.TEXTAFTER(Tabla1[[#This Row],[ENLACE]],"/",1),"/")</f>
        <v>poland</v>
      </c>
      <c r="D445" s="8" t="str">
        <f ca="1">IF(VLOOKUP(Tabla1[[#This Row],[PAIS]],$G$2:$H$34,2)="x","SI","NO")</f>
        <v>SI</v>
      </c>
    </row>
    <row r="446" spans="1:4" x14ac:dyDescent="0.3">
      <c r="A446" t="str">
        <f>MID(Tabla1[[#This Row],[ENLACE]],FIND("~",SUBSTITUTE(Tabla1[[#This Row],[ENLACE]],"/","~",2))+1,LEN(Tabla1[[#This Row],[ENLACE]]))</f>
        <v>wisla-plock</v>
      </c>
      <c r="B446" s="5" t="s">
        <v>374</v>
      </c>
      <c r="C446" t="str">
        <f>_xlfn.TEXTBEFORE(_xlfn.TEXTAFTER(Tabla1[[#This Row],[ENLACE]],"/",1),"/")</f>
        <v>poland</v>
      </c>
      <c r="D446" s="8" t="str">
        <f ca="1">IF(VLOOKUP(Tabla1[[#This Row],[PAIS]],$G$2:$H$34,2)="x","SI","NO")</f>
        <v>SI</v>
      </c>
    </row>
    <row r="447" spans="1:4" x14ac:dyDescent="0.3">
      <c r="A447" t="str">
        <f>MID(Tabla1[[#This Row],[ENLACE]],FIND("~",SUBSTITUTE(Tabla1[[#This Row],[ENLACE]],"/","~",2))+1,LEN(Tabla1[[#This Row],[ENLACE]]))</f>
        <v>zaglebie-lubin</v>
      </c>
      <c r="B447" s="2" t="s">
        <v>375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SI</v>
      </c>
    </row>
    <row r="448" spans="1:4" x14ac:dyDescent="0.3">
      <c r="A448" t="str">
        <f>MID(Tabla1[[#This Row],[ENLACE]],FIND("~",SUBSTITUTE(Tabla1[[#This Row],[ENLACE]],"/","~",2))+1,LEN(Tabla1[[#This Row],[ENLACE]]))</f>
        <v>avs-futebol-sad</v>
      </c>
      <c r="B448" s="5" t="s">
        <v>376</v>
      </c>
      <c r="C448" t="str">
        <f>_xlfn.TEXTBEFORE(_xlfn.TEXTAFTER(Tabla1[[#This Row],[ENLACE]],"/",1),"/")</f>
        <v>portugal</v>
      </c>
      <c r="D448" s="8" t="str">
        <f ca="1">IF(VLOOKUP(Tabla1[[#This Row],[PAIS]],$G$2:$H$34,2)="x","SI","NO")</f>
        <v>SI</v>
      </c>
    </row>
    <row r="449" spans="1:4" x14ac:dyDescent="0.3">
      <c r="A449" t="str">
        <f>MID(Tabla1[[#This Row],[ENLACE]],FIND("~",SUBSTITUTE(Tabla1[[#This Row],[ENLACE]],"/","~",2))+1,LEN(Tabla1[[#This Row],[ENLACE]]))</f>
        <v>fc-alverca</v>
      </c>
      <c r="B449" s="2" t="s">
        <v>377</v>
      </c>
      <c r="C449" t="str">
        <f>_xlfn.TEXTBEFORE(_xlfn.TEXTAFTER(Tabla1[[#This Row],[ENLACE]],"/",1),"/")</f>
        <v>portugal</v>
      </c>
      <c r="D449" s="8" t="str">
        <f ca="1">IF(VLOOKUP(Tabla1[[#This Row],[PAIS]],$G$2:$H$34,2)="x","SI","NO")</f>
        <v>SI</v>
      </c>
    </row>
    <row r="450" spans="1:4" x14ac:dyDescent="0.3">
      <c r="A450" t="str">
        <f>MID(Tabla1[[#This Row],[ENLACE]],FIND("~",SUBSTITUTE(Tabla1[[#This Row],[ENLACE]],"/","~",2))+1,LEN(Tabla1[[#This Row],[ENLACE]]))</f>
        <v>fc-arouca</v>
      </c>
      <c r="B450" s="5" t="s">
        <v>378</v>
      </c>
      <c r="C450" t="str">
        <f>_xlfn.TEXTBEFORE(_xlfn.TEXTAFTER(Tabla1[[#This Row],[ENLACE]],"/",1),"/")</f>
        <v>portugal</v>
      </c>
      <c r="D450" s="8" t="str">
        <f ca="1">IF(VLOOKUP(Tabla1[[#This Row],[PAIS]],$G$2:$H$34,2)="x","SI","NO")</f>
        <v>SI</v>
      </c>
    </row>
    <row r="451" spans="1:4" x14ac:dyDescent="0.3">
      <c r="A451" t="str">
        <f>MID(Tabla1[[#This Row],[ENLACE]],FIND("~",SUBSTITUTE(Tabla1[[#This Row],[ENLACE]],"/","~",2))+1,LEN(Tabla1[[#This Row],[ENLACE]]))</f>
        <v>benfica</v>
      </c>
      <c r="B451" s="2" t="s">
        <v>379</v>
      </c>
      <c r="C451" t="str">
        <f>_xlfn.TEXTBEFORE(_xlfn.TEXTAFTER(Tabla1[[#This Row],[ENLACE]],"/",1),"/")</f>
        <v>portugal</v>
      </c>
      <c r="D451" s="8" t="str">
        <f ca="1">IF(VLOOKUP(Tabla1[[#This Row],[PAIS]],$G$2:$H$34,2)="x","SI","NO")</f>
        <v>SI</v>
      </c>
    </row>
    <row r="452" spans="1:4" x14ac:dyDescent="0.3">
      <c r="A452" t="str">
        <f>MID(Tabla1[[#This Row],[ENLACE]],FIND("~",SUBSTITUTE(Tabla1[[#This Row],[ENLACE]],"/","~",2))+1,LEN(Tabla1[[#This Row],[ENLACE]]))</f>
        <v>braga</v>
      </c>
      <c r="B452" s="5" t="s">
        <v>380</v>
      </c>
      <c r="C452" t="str">
        <f>_xlfn.TEXTBEFORE(_xlfn.TEXTAFTER(Tabla1[[#This Row],[ENLACE]],"/",1),"/")</f>
        <v>portugal</v>
      </c>
      <c r="D452" s="8" t="str">
        <f ca="1">IF(VLOOKUP(Tabla1[[#This Row],[PAIS]],$G$2:$H$34,2)="x","SI","NO")</f>
        <v>SI</v>
      </c>
    </row>
    <row r="453" spans="1:4" x14ac:dyDescent="0.3">
      <c r="A453" t="str">
        <f>MID(Tabla1[[#This Row],[ENLACE]],FIND("~",SUBSTITUTE(Tabla1[[#This Row],[ENLACE]],"/","~",2))+1,LEN(Tabla1[[#This Row],[ENLACE]]))</f>
        <v>casa-pia-ac</v>
      </c>
      <c r="B453" s="2" t="s">
        <v>381</v>
      </c>
      <c r="C453" t="str">
        <f>_xlfn.TEXTBEFORE(_xlfn.TEXTAFTER(Tabla1[[#This Row],[ENLACE]],"/",1),"/")</f>
        <v>portugal</v>
      </c>
      <c r="D453" s="8" t="str">
        <f ca="1">IF(VLOOKUP(Tabla1[[#This Row],[PAIS]],$G$2:$H$34,2)="x","SI","NO")</f>
        <v>SI</v>
      </c>
    </row>
    <row r="454" spans="1:4" x14ac:dyDescent="0.3">
      <c r="A454" t="str">
        <f>MID(Tabla1[[#This Row],[ENLACE]],FIND("~",SUBSTITUTE(Tabla1[[#This Row],[ENLACE]],"/","~",2))+1,LEN(Tabla1[[#This Row],[ENLACE]]))</f>
        <v>gd-estoril-praia</v>
      </c>
      <c r="B454" s="5" t="s">
        <v>382</v>
      </c>
      <c r="C454" t="str">
        <f>_xlfn.TEXTBEFORE(_xlfn.TEXTAFTER(Tabla1[[#This Row],[ENLACE]],"/",1),"/")</f>
        <v>portugal</v>
      </c>
      <c r="D454" s="8" t="str">
        <f ca="1">IF(VLOOKUP(Tabla1[[#This Row],[PAIS]],$G$2:$H$34,2)="x","SI","NO")</f>
        <v>SI</v>
      </c>
    </row>
    <row r="455" spans="1:4" x14ac:dyDescent="0.3">
      <c r="A455" t="str">
        <f>MID(Tabla1[[#This Row],[ENLACE]],FIND("~",SUBSTITUTE(Tabla1[[#This Row],[ENLACE]],"/","~",2))+1,LEN(Tabla1[[#This Row],[ENLACE]]))</f>
        <v>cf-estrela-da-amadora</v>
      </c>
      <c r="B455" s="2" t="s">
        <v>383</v>
      </c>
      <c r="C455" t="str">
        <f>_xlfn.TEXTBEFORE(_xlfn.TEXTAFTER(Tabla1[[#This Row],[ENLACE]],"/",1),"/")</f>
        <v>portugal</v>
      </c>
      <c r="D455" s="8" t="str">
        <f ca="1">IF(VLOOKUP(Tabla1[[#This Row],[PAIS]],$G$2:$H$34,2)="x","SI","NO")</f>
        <v>SI</v>
      </c>
    </row>
    <row r="456" spans="1:4" x14ac:dyDescent="0.3">
      <c r="A456" t="str">
        <f>MID(Tabla1[[#This Row],[ENLACE]],FIND("~",SUBSTITUTE(Tabla1[[#This Row],[ENLACE]],"/","~",2))+1,LEN(Tabla1[[#This Row],[ENLACE]]))</f>
        <v>famalicao</v>
      </c>
      <c r="B456" s="5" t="s">
        <v>384</v>
      </c>
      <c r="C456" t="str">
        <f>_xlfn.TEXTBEFORE(_xlfn.TEXTAFTER(Tabla1[[#This Row],[ENLACE]],"/",1),"/")</f>
        <v>portugal</v>
      </c>
      <c r="D456" s="8" t="str">
        <f ca="1">IF(VLOOKUP(Tabla1[[#This Row],[PAIS]],$G$2:$H$34,2)="x","SI","NO")</f>
        <v>SI</v>
      </c>
    </row>
    <row r="457" spans="1:4" x14ac:dyDescent="0.3">
      <c r="A457" t="str">
        <f>MID(Tabla1[[#This Row],[ENLACE]],FIND("~",SUBSTITUTE(Tabla1[[#This Row],[ENLACE]],"/","~",2))+1,LEN(Tabla1[[#This Row],[ENLACE]]))</f>
        <v>fc-porto</v>
      </c>
      <c r="B457" s="2" t="s">
        <v>385</v>
      </c>
      <c r="C457" t="str">
        <f>_xlfn.TEXTBEFORE(_xlfn.TEXTAFTER(Tabla1[[#This Row],[ENLACE]],"/",1),"/")</f>
        <v>portugal</v>
      </c>
      <c r="D457" s="8" t="str">
        <f ca="1">IF(VLOOKUP(Tabla1[[#This Row],[PAIS]],$G$2:$H$34,2)="x","SI","NO")</f>
        <v>SI</v>
      </c>
    </row>
    <row r="458" spans="1:4" x14ac:dyDescent="0.3">
      <c r="A458" t="str">
        <f>MID(Tabla1[[#This Row],[ENLACE]],FIND("~",SUBSTITUTE(Tabla1[[#This Row],[ENLACE]],"/","~",2))+1,LEN(Tabla1[[#This Row],[ENLACE]]))</f>
        <v>gil-vicente</v>
      </c>
      <c r="B458" s="5" t="s">
        <v>386</v>
      </c>
      <c r="C458" t="str">
        <f>_xlfn.TEXTBEFORE(_xlfn.TEXTAFTER(Tabla1[[#This Row],[ENLACE]],"/",1),"/")</f>
        <v>portugal</v>
      </c>
      <c r="D458" s="8" t="str">
        <f ca="1">IF(VLOOKUP(Tabla1[[#This Row],[PAIS]],$G$2:$H$34,2)="x","SI","NO")</f>
        <v>SI</v>
      </c>
    </row>
    <row r="459" spans="1:4" x14ac:dyDescent="0.3">
      <c r="A459" t="str">
        <f>MID(Tabla1[[#This Row],[ENLACE]],FIND("~",SUBSTITUTE(Tabla1[[#This Row],[ENLACE]],"/","~",2))+1,LEN(Tabla1[[#This Row],[ENLACE]]))</f>
        <v>vitoria-de-guimaraes</v>
      </c>
      <c r="B459" s="2" t="s">
        <v>387</v>
      </c>
      <c r="C459" t="str">
        <f>_xlfn.TEXTBEFORE(_xlfn.TEXTAFTER(Tabla1[[#This Row],[ENLACE]],"/",1),"/")</f>
        <v>portugal</v>
      </c>
      <c r="D459" s="8" t="str">
        <f ca="1">IF(VLOOKUP(Tabla1[[#This Row],[PAIS]],$G$2:$H$34,2)="x","SI","NO")</f>
        <v>SI</v>
      </c>
    </row>
    <row r="460" spans="1:4" x14ac:dyDescent="0.3">
      <c r="A460" t="str">
        <f>MID(Tabla1[[#This Row],[ENLACE]],FIND("~",SUBSTITUTE(Tabla1[[#This Row],[ENLACE]],"/","~",2))+1,LEN(Tabla1[[#This Row],[ENLACE]]))</f>
        <v>moreirense-fc</v>
      </c>
      <c r="B460" s="5" t="s">
        <v>388</v>
      </c>
      <c r="C460" t="str">
        <f>_xlfn.TEXTBEFORE(_xlfn.TEXTAFTER(Tabla1[[#This Row],[ENLACE]],"/",1),"/")</f>
        <v>portugal</v>
      </c>
      <c r="D460" s="8" t="str">
        <f ca="1">IF(VLOOKUP(Tabla1[[#This Row],[PAIS]],$G$2:$H$34,2)="x","SI","NO")</f>
        <v>SI</v>
      </c>
    </row>
    <row r="461" spans="1:4" x14ac:dyDescent="0.3">
      <c r="A461" t="str">
        <f>MID(Tabla1[[#This Row],[ENLACE]],FIND("~",SUBSTITUTE(Tabla1[[#This Row],[ENLACE]],"/","~",2))+1,LEN(Tabla1[[#This Row],[ENLACE]]))</f>
        <v>cd-nacional</v>
      </c>
      <c r="B461" s="2" t="s">
        <v>389</v>
      </c>
      <c r="C461" t="str">
        <f>_xlfn.TEXTBEFORE(_xlfn.TEXTAFTER(Tabla1[[#This Row],[ENLACE]],"/",1),"/")</f>
        <v>portugal</v>
      </c>
      <c r="D461" s="8" t="str">
        <f ca="1">IF(VLOOKUP(Tabla1[[#This Row],[PAIS]],$G$2:$H$34,2)="x","SI","NO")</f>
        <v>SI</v>
      </c>
    </row>
    <row r="462" spans="1:4" x14ac:dyDescent="0.3">
      <c r="A462" t="str">
        <f>MID(Tabla1[[#This Row],[ENLACE]],FIND("~",SUBSTITUTE(Tabla1[[#This Row],[ENLACE]],"/","~",2))+1,LEN(Tabla1[[#This Row],[ENLACE]]))</f>
        <v>rio-ave-fc</v>
      </c>
      <c r="B462" s="5" t="s">
        <v>390</v>
      </c>
      <c r="C462" t="str">
        <f>_xlfn.TEXTBEFORE(_xlfn.TEXTAFTER(Tabla1[[#This Row],[ENLACE]],"/",1),"/")</f>
        <v>portugal</v>
      </c>
      <c r="D462" s="8" t="str">
        <f ca="1">IF(VLOOKUP(Tabla1[[#This Row],[PAIS]],$G$2:$H$34,2)="x","SI","NO")</f>
        <v>SI</v>
      </c>
    </row>
    <row r="463" spans="1:4" x14ac:dyDescent="0.3">
      <c r="A463" t="str">
        <f>MID(Tabla1[[#This Row],[ENLACE]],FIND("~",SUBSTITUTE(Tabla1[[#This Row],[ENLACE]],"/","~",2))+1,LEN(Tabla1[[#This Row],[ENLACE]]))</f>
        <v>santa-clara</v>
      </c>
      <c r="B463" s="2" t="s">
        <v>391</v>
      </c>
      <c r="C463" t="str">
        <f>_xlfn.TEXTBEFORE(_xlfn.TEXTAFTER(Tabla1[[#This Row],[ENLACE]],"/",1),"/")</f>
        <v>portugal</v>
      </c>
      <c r="D463" s="8" t="str">
        <f ca="1">IF(VLOOKUP(Tabla1[[#This Row],[PAIS]],$G$2:$H$34,2)="x","SI","NO")</f>
        <v>SI</v>
      </c>
    </row>
    <row r="464" spans="1:4" x14ac:dyDescent="0.3">
      <c r="A464" t="str">
        <f>MID(Tabla1[[#This Row],[ENLACE]],FIND("~",SUBSTITUTE(Tabla1[[#This Row],[ENLACE]],"/","~",2))+1,LEN(Tabla1[[#This Row],[ENLACE]]))</f>
        <v>sporting-cp</v>
      </c>
      <c r="B464" s="5" t="s">
        <v>392</v>
      </c>
      <c r="C464" t="str">
        <f>_xlfn.TEXTBEFORE(_xlfn.TEXTAFTER(Tabla1[[#This Row],[ENLACE]],"/",1),"/")</f>
        <v>portugal</v>
      </c>
      <c r="D464" s="8" t="str">
        <f ca="1">IF(VLOOKUP(Tabla1[[#This Row],[PAIS]],$G$2:$H$34,2)="x","SI","NO")</f>
        <v>SI</v>
      </c>
    </row>
    <row r="465" spans="1:4" x14ac:dyDescent="0.3">
      <c r="A465" t="str">
        <f>MID(Tabla1[[#This Row],[ENLACE]],FIND("~",SUBSTITUTE(Tabla1[[#This Row],[ENLACE]],"/","~",2))+1,LEN(Tabla1[[#This Row],[ENLACE]]))</f>
        <v>cd-tondela</v>
      </c>
      <c r="B465" s="2" t="s">
        <v>393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fc-botosani</v>
      </c>
      <c r="B466" s="5" t="s">
        <v>394</v>
      </c>
      <c r="C466" t="str">
        <f>_xlfn.TEXTBEFORE(_xlfn.TEXTAFTER(Tabla1[[#This Row],[ENLACE]],"/",1),"/")</f>
        <v>romania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cfr-cluj</v>
      </c>
      <c r="B467" s="2" t="s">
        <v>395</v>
      </c>
      <c r="C467" t="str">
        <f>_xlfn.TEXTBEFORE(_xlfn.TEXTAFTER(Tabla1[[#This Row],[ENLACE]],"/",1),"/")</f>
        <v>romania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fk-miercurea-ciuc</v>
      </c>
      <c r="B468" s="5" t="s">
        <v>396</v>
      </c>
      <c r="C468" t="str">
        <f>_xlfn.TEXTBEFORE(_xlfn.TEXTAFTER(Tabla1[[#This Row],[ENLACE]],"/",1),"/")</f>
        <v>romania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fc-dinamo-bucuresti</v>
      </c>
      <c r="B469" s="2" t="s">
        <v>397</v>
      </c>
      <c r="C469" t="str">
        <f>_xlfn.TEXTBEFORE(_xlfn.TEXTAFTER(Tabla1[[#This Row],[ENLACE]],"/",1),"/")</f>
        <v>romania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fc-farul-constanta</v>
      </c>
      <c r="B470" s="5" t="s">
        <v>398</v>
      </c>
      <c r="C470" t="str">
        <f>_xlfn.TEXTBEFORE(_xlfn.TEXTAFTER(Tabla1[[#This Row],[ENLACE]],"/",1),"/")</f>
        <v>romania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fc-arges-pitesti</v>
      </c>
      <c r="B471" s="2" t="s">
        <v>399</v>
      </c>
      <c r="C471" t="str">
        <f>_xlfn.TEXTBEFORE(_xlfn.TEXTAFTER(Tabla1[[#This Row],[ENLACE]],"/",1),"/")</f>
        <v>romania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fc-hermannstadt</v>
      </c>
      <c r="B472" s="5" t="s">
        <v>400</v>
      </c>
      <c r="C472" t="str">
        <f>_xlfn.TEXTBEFORE(_xlfn.TEXTAFTER(Tabla1[[#This Row],[ENLACE]],"/",1),"/")</f>
        <v>romania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fc-rapid-bucuresti</v>
      </c>
      <c r="B473" s="2" t="s">
        <v>401</v>
      </c>
      <c r="C473" t="str">
        <f>_xlfn.TEXTBEFORE(_xlfn.TEXTAFTER(Tabla1[[#This Row],[ENLACE]],"/",1),"/")</f>
        <v>romania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fcsb</v>
      </c>
      <c r="B474" s="5" t="s">
        <v>402</v>
      </c>
      <c r="C474" t="str">
        <f>_xlfn.TEXTBEFORE(_xlfn.TEXTAFTER(Tabla1[[#This Row],[ENLACE]],"/",1),"/")</f>
        <v>romania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fc-metaloglobus-bucuresti</v>
      </c>
      <c r="B475" s="2" t="s">
        <v>403</v>
      </c>
      <c r="C475" t="str">
        <f>_xlfn.TEXTBEFORE(_xlfn.TEXTAFTER(Tabla1[[#This Row],[ENLACE]],"/",1),"/")</f>
        <v>romania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asc-otelul-galati</v>
      </c>
      <c r="B476" s="5" t="s">
        <v>404</v>
      </c>
      <c r="C476" t="str">
        <f>_xlfn.TEXTBEFORE(_xlfn.TEXTAFTER(Tabla1[[#This Row],[ENLACE]],"/",1),"/")</f>
        <v>romania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fc-petrolul-ploiesti</v>
      </c>
      <c r="B477" s="2" t="s">
        <v>405</v>
      </c>
      <c r="C477" t="str">
        <f>_xlfn.TEXTBEFORE(_xlfn.TEXTAFTER(Tabla1[[#This Row],[ENLACE]],"/",1),"/")</f>
        <v>romania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fc-universitatea-cluj</v>
      </c>
      <c r="B478" s="5" t="s">
        <v>406</v>
      </c>
      <c r="C478" t="str">
        <f>_xlfn.TEXTBEFORE(_xlfn.TEXTAFTER(Tabla1[[#This Row],[ENLACE]],"/",1),"/")</f>
        <v>romania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afc-unirea-slobozia</v>
      </c>
      <c r="B479" s="2" t="s">
        <v>407</v>
      </c>
      <c r="C479" t="str">
        <f>_xlfn.TEXTBEFORE(_xlfn.TEXTAFTER(Tabla1[[#This Row],[ENLACE]],"/",1),"/")</f>
        <v>romania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cs-universitatea-craiova</v>
      </c>
      <c r="B480" s="5" t="s">
        <v>408</v>
      </c>
      <c r="C480" t="str">
        <f>_xlfn.TEXTBEFORE(_xlfn.TEXTAFTER(Tabla1[[#This Row],[ENLACE]],"/",1),"/")</f>
        <v>romania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fc-uta-arad</v>
      </c>
      <c r="B481" s="2" t="s">
        <v>409</v>
      </c>
      <c r="C481" t="str">
        <f>_xlfn.TEXTBEFORE(_xlfn.TEXTAFTER(Tabla1[[#This Row],[ENLACE]],"/",1),"/")</f>
        <v>romania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al-fateh-sc</v>
      </c>
      <c r="B482" s="5" t="s">
        <v>411</v>
      </c>
      <c r="C482" t="str">
        <f>_xlfn.TEXTBEFORE(_xlfn.TEXTAFTER(Tabla1[[#This Row],[ENLACE]],"/",1),"/")</f>
        <v>saudi-arabia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al-fayha-fc</v>
      </c>
      <c r="B483" s="2" t="s">
        <v>412</v>
      </c>
      <c r="C483" t="str">
        <f>_xlfn.TEXTBEFORE(_xlfn.TEXTAFTER(Tabla1[[#This Row],[ENLACE]],"/",1),"/")</f>
        <v>saudi-arabia</v>
      </c>
      <c r="D483" s="8" t="str">
        <f ca="1">IF(VLOOKUP(Tabla1[[#This Row],[PAIS]],$G$2:$H$34,2)="x","SI","NO")</f>
        <v>SI</v>
      </c>
    </row>
    <row r="484" spans="1:4" x14ac:dyDescent="0.3">
      <c r="A484" t="str">
        <f>MID(Tabla1[[#This Row],[ENLACE]],FIND("~",SUBSTITUTE(Tabla1[[#This Row],[ENLACE]],"/","~",2))+1,LEN(Tabla1[[#This Row],[ENLACE]]))</f>
        <v>al-hazem-fc</v>
      </c>
      <c r="B484" s="5" t="s">
        <v>550</v>
      </c>
      <c r="C484" t="str">
        <f>_xlfn.TEXTBEFORE(_xlfn.TEXTAFTER(Tabla1[[#This Row],[ENLACE]],"/",1),"/")</f>
        <v>saudi-arabia</v>
      </c>
      <c r="D484" s="8" t="str">
        <f ca="1">IF(VLOOKUP(Tabla1[[#This Row],[PAIS]],$G$2:$H$34,2)="x","SI","NO")</f>
        <v>SI</v>
      </c>
    </row>
    <row r="485" spans="1:4" x14ac:dyDescent="0.3">
      <c r="A485" t="str">
        <f>MID(Tabla1[[#This Row],[ENLACE]],FIND("~",SUBSTITUTE(Tabla1[[#This Row],[ENLACE]],"/","~",2))+1,LEN(Tabla1[[#This Row],[ENLACE]]))</f>
        <v>khaleej-fc</v>
      </c>
      <c r="B485" s="2" t="s">
        <v>413</v>
      </c>
      <c r="C485" t="str">
        <f>_xlfn.TEXTBEFORE(_xlfn.TEXTAFTER(Tabla1[[#This Row],[ENLACE]],"/",1),"/")</f>
        <v>saudi-arabia</v>
      </c>
      <c r="D485" s="8" t="str">
        <f ca="1">IF(VLOOKUP(Tabla1[[#This Row],[PAIS]],$G$2:$H$34,2)="x","SI","NO")</f>
        <v>SI</v>
      </c>
    </row>
    <row r="486" spans="1:4" x14ac:dyDescent="0.3">
      <c r="A486" t="str">
        <f>MID(Tabla1[[#This Row],[ENLACE]],FIND("~",SUBSTITUTE(Tabla1[[#This Row],[ENLACE]],"/","~",2))+1,LEN(Tabla1[[#This Row],[ENLACE]]))</f>
        <v>al-kholood-club</v>
      </c>
      <c r="B486" s="5" t="s">
        <v>414</v>
      </c>
      <c r="C486" t="str">
        <f>_xlfn.TEXTBEFORE(_xlfn.TEXTAFTER(Tabla1[[#This Row],[ENLACE]],"/",1),"/")</f>
        <v>saudi-arabia</v>
      </c>
      <c r="D486" s="8" t="str">
        <f ca="1">IF(VLOOKUP(Tabla1[[#This Row],[PAIS]],$G$2:$H$34,2)="x","SI","NO")</f>
        <v>SI</v>
      </c>
    </row>
    <row r="487" spans="1:4" x14ac:dyDescent="0.3">
      <c r="A487" t="str">
        <f>MID(Tabla1[[#This Row],[ENLACE]],FIND("~",SUBSTITUTE(Tabla1[[#This Row],[ENLACE]],"/","~",2))+1,LEN(Tabla1[[#This Row],[ENLACE]]))</f>
        <v>al-najma-sc</v>
      </c>
      <c r="B487" s="2" t="s">
        <v>551</v>
      </c>
      <c r="C487" t="str">
        <f>_xlfn.TEXTBEFORE(_xlfn.TEXTAFTER(Tabla1[[#This Row],[ENLACE]],"/",1),"/")</f>
        <v>saudi-arabia</v>
      </c>
      <c r="D487" s="8" t="str">
        <f ca="1">IF(VLOOKUP(Tabla1[[#This Row],[PAIS]],$G$2:$H$34,2)="x","SI","NO")</f>
        <v>SI</v>
      </c>
    </row>
    <row r="488" spans="1:4" x14ac:dyDescent="0.3">
      <c r="A488" t="str">
        <f>MID(Tabla1[[#This Row],[ENLACE]],FIND("~",SUBSTITUTE(Tabla1[[#This Row],[ENLACE]],"/","~",2))+1,LEN(Tabla1[[#This Row],[ENLACE]]))</f>
        <v>al-okhdood-club</v>
      </c>
      <c r="B488" s="5" t="s">
        <v>410</v>
      </c>
      <c r="C488" t="str">
        <f>_xlfn.TEXTBEFORE(_xlfn.TEXTAFTER(Tabla1[[#This Row],[ENLACE]],"/",1),"/")</f>
        <v>saudi-arabia</v>
      </c>
      <c r="D488" s="8" t="str">
        <f ca="1">IF(VLOOKUP(Tabla1[[#This Row],[PAIS]],$G$2:$H$34,2)="x","SI","NO")</f>
        <v>SI</v>
      </c>
    </row>
    <row r="489" spans="1:4" x14ac:dyDescent="0.3">
      <c r="A489" t="str">
        <f>MID(Tabla1[[#This Row],[ENLACE]],FIND("~",SUBSTITUTE(Tabla1[[#This Row],[ENLACE]],"/","~",2))+1,LEN(Tabla1[[#This Row],[ENLACE]]))</f>
        <v>al-qadsiah-fc</v>
      </c>
      <c r="B489" s="2" t="s">
        <v>415</v>
      </c>
      <c r="C489" t="str">
        <f>_xlfn.TEXTBEFORE(_xlfn.TEXTAFTER(Tabla1[[#This Row],[ENLACE]],"/",1),"/")</f>
        <v>saudi-arabia</v>
      </c>
      <c r="D489" s="8" t="str">
        <f ca="1">IF(VLOOKUP(Tabla1[[#This Row],[PAIS]],$G$2:$H$34,2)="x","SI","NO")</f>
        <v>SI</v>
      </c>
    </row>
    <row r="490" spans="1:4" x14ac:dyDescent="0.3">
      <c r="A490" t="str">
        <f>MID(Tabla1[[#This Row],[ENLACE]],FIND("~",SUBSTITUTE(Tabla1[[#This Row],[ENLACE]],"/","~",2))+1,LEN(Tabla1[[#This Row],[ENLACE]]))</f>
        <v>al-riyadh-sc</v>
      </c>
      <c r="B490" s="5" t="s">
        <v>416</v>
      </c>
      <c r="C490" t="str">
        <f>_xlfn.TEXTBEFORE(_xlfn.TEXTAFTER(Tabla1[[#This Row],[ENLACE]],"/",1),"/")</f>
        <v>saudi-arabia</v>
      </c>
      <c r="D490" s="8" t="str">
        <f ca="1">IF(VLOOKUP(Tabla1[[#This Row],[PAIS]],$G$2:$H$34,2)="x","SI","NO")</f>
        <v>SI</v>
      </c>
    </row>
    <row r="491" spans="1:4" x14ac:dyDescent="0.3">
      <c r="A491" t="str">
        <f>MID(Tabla1[[#This Row],[ENLACE]],FIND("~",SUBSTITUTE(Tabla1[[#This Row],[ENLACE]],"/","~",2))+1,LEN(Tabla1[[#This Row],[ENLACE]]))</f>
        <v>al-ahli-saudi-fc</v>
      </c>
      <c r="B491" s="2" t="s">
        <v>417</v>
      </c>
      <c r="C491" t="str">
        <f>_xlfn.TEXTBEFORE(_xlfn.TEXTAFTER(Tabla1[[#This Row],[ENLACE]],"/",1),"/")</f>
        <v>saudi-arabia</v>
      </c>
      <c r="D491" s="8" t="str">
        <f ca="1">IF(VLOOKUP(Tabla1[[#This Row],[PAIS]],$G$2:$H$34,2)="x","SI","NO")</f>
        <v>SI</v>
      </c>
    </row>
    <row r="492" spans="1:4" x14ac:dyDescent="0.3">
      <c r="A492" t="str">
        <f>MID(Tabla1[[#This Row],[ENLACE]],FIND("~",SUBSTITUTE(Tabla1[[#This Row],[ENLACE]],"/","~",2))+1,LEN(Tabla1[[#This Row],[ENLACE]]))</f>
        <v>al-ettifaq-fc</v>
      </c>
      <c r="B492" s="5" t="s">
        <v>418</v>
      </c>
      <c r="C492" t="str">
        <f>_xlfn.TEXTBEFORE(_xlfn.TEXTAFTER(Tabla1[[#This Row],[ENLACE]],"/",1),"/")</f>
        <v>saudi-arabia</v>
      </c>
      <c r="D492" s="8" t="str">
        <f ca="1">IF(VLOOKUP(Tabla1[[#This Row],[PAIS]],$G$2:$H$34,2)="x","SI","NO")</f>
        <v>SI</v>
      </c>
    </row>
    <row r="493" spans="1:4" x14ac:dyDescent="0.3">
      <c r="A493" t="str">
        <f>MID(Tabla1[[#This Row],[ENLACE]],FIND("~",SUBSTITUTE(Tabla1[[#This Row],[ENLACE]],"/","~",2))+1,LEN(Tabla1[[#This Row],[ENLACE]]))</f>
        <v>al-hilal-fc</v>
      </c>
      <c r="B493" s="2" t="s">
        <v>419</v>
      </c>
      <c r="C493" t="str">
        <f>_xlfn.TEXTBEFORE(_xlfn.TEXTAFTER(Tabla1[[#This Row],[ENLACE]],"/",1),"/")</f>
        <v>saudi-arabia</v>
      </c>
      <c r="D493" s="8" t="str">
        <f ca="1">IF(VLOOKUP(Tabla1[[#This Row],[PAIS]],$G$2:$H$34,2)="x","SI","NO")</f>
        <v>SI</v>
      </c>
    </row>
    <row r="494" spans="1:4" x14ac:dyDescent="0.3">
      <c r="A494" t="str">
        <f>MID(Tabla1[[#This Row],[ENLACE]],FIND("~",SUBSTITUTE(Tabla1[[#This Row],[ENLACE]],"/","~",2))+1,LEN(Tabla1[[#This Row],[ENLACE]]))</f>
        <v>al-ittihad-fc</v>
      </c>
      <c r="B494" s="5" t="s">
        <v>420</v>
      </c>
      <c r="C494" t="str">
        <f>_xlfn.TEXTBEFORE(_xlfn.TEXTAFTER(Tabla1[[#This Row],[ENLACE]],"/",1),"/")</f>
        <v>saudi-arabia</v>
      </c>
      <c r="D494" s="8" t="str">
        <f ca="1">IF(VLOOKUP(Tabla1[[#This Row],[PAIS]],$G$2:$H$34,2)="x","SI","NO")</f>
        <v>SI</v>
      </c>
    </row>
    <row r="495" spans="1:4" x14ac:dyDescent="0.3">
      <c r="A495" t="str">
        <f>MID(Tabla1[[#This Row],[ENLACE]],FIND("~",SUBSTITUTE(Tabla1[[#This Row],[ENLACE]],"/","~",2))+1,LEN(Tabla1[[#This Row],[ENLACE]]))</f>
        <v>al-nassr-fc</v>
      </c>
      <c r="B495" s="2" t="s">
        <v>421</v>
      </c>
      <c r="C495" t="str">
        <f>_xlfn.TEXTBEFORE(_xlfn.TEXTAFTER(Tabla1[[#This Row],[ENLACE]],"/",1),"/")</f>
        <v>saudi-arabia</v>
      </c>
      <c r="D495" s="8" t="str">
        <f ca="1">IF(VLOOKUP(Tabla1[[#This Row],[PAIS]],$G$2:$H$34,2)="x","SI","NO")</f>
        <v>SI</v>
      </c>
    </row>
    <row r="496" spans="1:4" x14ac:dyDescent="0.3">
      <c r="A496" t="str">
        <f>MID(Tabla1[[#This Row],[ENLACE]],FIND("~",SUBSTITUTE(Tabla1[[#This Row],[ENLACE]],"/","~",2))+1,LEN(Tabla1[[#This Row],[ENLACE]]))</f>
        <v>al-shabab-fc</v>
      </c>
      <c r="B496" s="5" t="s">
        <v>422</v>
      </c>
      <c r="C496" t="str">
        <f>_xlfn.TEXTBEFORE(_xlfn.TEXTAFTER(Tabla1[[#This Row],[ENLACE]],"/",1),"/")</f>
        <v>saudi-arabia</v>
      </c>
      <c r="D496" s="8" t="str">
        <f ca="1">IF(VLOOKUP(Tabla1[[#This Row],[PAIS]],$G$2:$H$34,2)="x","SI","NO")</f>
        <v>SI</v>
      </c>
    </row>
    <row r="497" spans="1:4" x14ac:dyDescent="0.3">
      <c r="A497" t="str">
        <f>MID(Tabla1[[#This Row],[ENLACE]],FIND("~",SUBSTITUTE(Tabla1[[#This Row],[ENLACE]],"/","~",2))+1,LEN(Tabla1[[#This Row],[ENLACE]]))</f>
        <v>al-taawoun-fc</v>
      </c>
      <c r="B497" s="2" t="s">
        <v>423</v>
      </c>
      <c r="C497" t="str">
        <f>_xlfn.TEXTBEFORE(_xlfn.TEXTAFTER(Tabla1[[#This Row],[ENLACE]],"/",1),"/")</f>
        <v>saudi-arabia</v>
      </c>
      <c r="D497" s="8" t="str">
        <f ca="1">IF(VLOOKUP(Tabla1[[#This Row],[PAIS]],$G$2:$H$34,2)="x","SI","NO")</f>
        <v>SI</v>
      </c>
    </row>
    <row r="498" spans="1:4" x14ac:dyDescent="0.3">
      <c r="A498" t="str">
        <f>MID(Tabla1[[#This Row],[ENLACE]],FIND("~",SUBSTITUTE(Tabla1[[#This Row],[ENLACE]],"/","~",2))+1,LEN(Tabla1[[#This Row],[ENLACE]]))</f>
        <v>damac-fc</v>
      </c>
      <c r="B498" s="5" t="s">
        <v>424</v>
      </c>
      <c r="C498" t="str">
        <f>_xlfn.TEXTBEFORE(_xlfn.TEXTAFTER(Tabla1[[#This Row],[ENLACE]],"/",1),"/")</f>
        <v>saudi-arabia</v>
      </c>
      <c r="D498" s="8" t="str">
        <f ca="1">IF(VLOOKUP(Tabla1[[#This Row],[PAIS]],$G$2:$H$34,2)="x","SI","NO")</f>
        <v>SI</v>
      </c>
    </row>
    <row r="499" spans="1:4" x14ac:dyDescent="0.3">
      <c r="A499" t="str">
        <f>MID(Tabla1[[#This Row],[ENLACE]],FIND("~",SUBSTITUTE(Tabla1[[#This Row],[ENLACE]],"/","~",2))+1,LEN(Tabla1[[#This Row],[ENLACE]]))</f>
        <v>neom-sc</v>
      </c>
      <c r="B499" s="2" t="s">
        <v>552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aberdeen-fc</v>
      </c>
      <c r="B500" s="5" t="s">
        <v>425</v>
      </c>
      <c r="C500" t="str">
        <f>_xlfn.TEXTBEFORE(_xlfn.TEXTAFTER(Tabla1[[#This Row],[ENLACE]],"/",1),"/")</f>
        <v>scotland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celtic-fc</v>
      </c>
      <c r="B501" s="2" t="s">
        <v>426</v>
      </c>
      <c r="C501" t="str">
        <f>_xlfn.TEXTBEFORE(_xlfn.TEXTAFTER(Tabla1[[#This Row],[ENLACE]],"/",1),"/")</f>
        <v>scotland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dundee-fc</v>
      </c>
      <c r="B502" s="5" t="s">
        <v>427</v>
      </c>
      <c r="C502" t="str">
        <f>_xlfn.TEXTBEFORE(_xlfn.TEXTAFTER(Tabla1[[#This Row],[ENLACE]],"/",1),"/")</f>
        <v>scotland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dundee-united-fc</v>
      </c>
      <c r="B503" s="2" t="s">
        <v>428</v>
      </c>
      <c r="C503" t="str">
        <f>_xlfn.TEXTBEFORE(_xlfn.TEXTAFTER(Tabla1[[#This Row],[ENLACE]],"/",1),"/")</f>
        <v>scotland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falkirk-fc</v>
      </c>
      <c r="B504" s="5" t="s">
        <v>429</v>
      </c>
      <c r="C504" t="str">
        <f>_xlfn.TEXTBEFORE(_xlfn.TEXTAFTER(Tabla1[[#This Row],[ENLACE]],"/",1),"/")</f>
        <v>scotland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heart-of-midlothian-fc</v>
      </c>
      <c r="B505" s="2" t="s">
        <v>430</v>
      </c>
      <c r="C505" t="str">
        <f>_xlfn.TEXTBEFORE(_xlfn.TEXTAFTER(Tabla1[[#This Row],[ENLACE]],"/",1),"/")</f>
        <v>scotland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hibernian-fc</v>
      </c>
      <c r="B506" s="5" t="s">
        <v>431</v>
      </c>
      <c r="C506" t="str">
        <f>_xlfn.TEXTBEFORE(_xlfn.TEXTAFTER(Tabla1[[#This Row],[ENLACE]],"/",1),"/")</f>
        <v>scotland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kilmarnock-fc</v>
      </c>
      <c r="B507" s="2" t="s">
        <v>432</v>
      </c>
      <c r="C507" t="str">
        <f>_xlfn.TEXTBEFORE(_xlfn.TEXTAFTER(Tabla1[[#This Row],[ENLACE]],"/",1),"/")</f>
        <v>scotland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livingston-fc</v>
      </c>
      <c r="B508" s="5" t="s">
        <v>433</v>
      </c>
      <c r="C508" t="str">
        <f>_xlfn.TEXTBEFORE(_xlfn.TEXTAFTER(Tabla1[[#This Row],[ENLACE]],"/",1),"/")</f>
        <v>scotland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motherwell-fc</v>
      </c>
      <c r="B509" s="2" t="s">
        <v>434</v>
      </c>
      <c r="C509" t="str">
        <f>_xlfn.TEXTBEFORE(_xlfn.TEXTAFTER(Tabla1[[#This Row],[ENLACE]],"/",1),"/")</f>
        <v>scotland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rangers-fc</v>
      </c>
      <c r="B510" s="5" t="s">
        <v>435</v>
      </c>
      <c r="C510" t="str">
        <f>_xlfn.TEXTBEFORE(_xlfn.TEXTAFTER(Tabla1[[#This Row],[ENLACE]],"/",1),"/")</f>
        <v>scotland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st-mirren-fc</v>
      </c>
      <c r="B511" s="2" t="s">
        <v>436</v>
      </c>
      <c r="C511" t="str">
        <f>_xlfn.TEXTBEFORE(_xlfn.TEXTAFTER(Tabla1[[#This Row],[ENLACE]],"/",1),"/")</f>
        <v>scotland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deportivo-alaves</v>
      </c>
      <c r="B512" s="5" t="s">
        <v>40</v>
      </c>
      <c r="C512" t="str">
        <f>_xlfn.TEXTBEFORE(_xlfn.TEXTAFTER(Tabla1[[#This Row],[ENLACE]],"/",1),"/")</f>
        <v>spain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athletic-bilbao</v>
      </c>
      <c r="B513" s="2" t="s">
        <v>41</v>
      </c>
      <c r="C513" t="str">
        <f>_xlfn.TEXTBEFORE(_xlfn.TEXTAFTER(Tabla1[[#This Row],[ENLACE]],"/",1),"/")</f>
        <v>spain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atletico-madrid</v>
      </c>
      <c r="B514" s="5" t="s">
        <v>42</v>
      </c>
      <c r="C514" t="str">
        <f>_xlfn.TEXTBEFORE(_xlfn.TEXTAFTER(Tabla1[[#This Row],[ENLACE]],"/",1),"/")</f>
        <v>spain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fc-barcelona</v>
      </c>
      <c r="B515" s="2" t="s">
        <v>43</v>
      </c>
      <c r="C515" t="str">
        <f>_xlfn.TEXTBEFORE(_xlfn.TEXTAFTER(Tabla1[[#This Row],[ENLACE]],"/",1),"/")</f>
        <v>spain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real-betis-balompie</v>
      </c>
      <c r="B516" s="5" t="s">
        <v>44</v>
      </c>
      <c r="C516" t="str">
        <f>_xlfn.TEXTBEFORE(_xlfn.TEXTAFTER(Tabla1[[#This Row],[ENLACE]],"/",1),"/")</f>
        <v>spain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celta-vigo</v>
      </c>
      <c r="B517" s="2" t="s">
        <v>45</v>
      </c>
      <c r="C517" t="str">
        <f>_xlfn.TEXTBEFORE(_xlfn.TEXTAFTER(Tabla1[[#This Row],[ENLACE]],"/",1),"/")</f>
        <v>spain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elche-cf</v>
      </c>
      <c r="B518" s="5" t="s">
        <v>519</v>
      </c>
      <c r="C518" t="str">
        <f>_xlfn.TEXTBEFORE(_xlfn.TEXTAFTER(Tabla1[[#This Row],[ENLACE]],"/",1),"/")</f>
        <v>spain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rcd-espanyol</v>
      </c>
      <c r="B519" s="2" t="s">
        <v>46</v>
      </c>
      <c r="C519" t="str">
        <f>_xlfn.TEXTBEFORE(_xlfn.TEXTAFTER(Tabla1[[#This Row],[ENLACE]],"/",1),"/")</f>
        <v>spain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getafe-cf</v>
      </c>
      <c r="B520" s="5" t="s">
        <v>47</v>
      </c>
      <c r="C520" t="str">
        <f>_xlfn.TEXTBEFORE(_xlfn.TEXTAFTER(Tabla1[[#This Row],[ENLACE]],"/",1),"/")</f>
        <v>spain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girona-fc</v>
      </c>
      <c r="B521" s="2" t="s">
        <v>48</v>
      </c>
      <c r="C521" t="str">
        <f>_xlfn.TEXTBEFORE(_xlfn.TEXTAFTER(Tabla1[[#This Row],[ENLACE]],"/",1),"/")</f>
        <v>spain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levante-ud</v>
      </c>
      <c r="B522" s="5" t="s">
        <v>520</v>
      </c>
      <c r="C522" t="str">
        <f>_xlfn.TEXTBEFORE(_xlfn.TEXTAFTER(Tabla1[[#This Row],[ENLACE]],"/",1),"/")</f>
        <v>spain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rcd-mallorca</v>
      </c>
      <c r="B523" s="2" t="s">
        <v>51</v>
      </c>
      <c r="C523" t="str">
        <f>_xlfn.TEXTBEFORE(_xlfn.TEXTAFTER(Tabla1[[#This Row],[ENLACE]],"/",1),"/")</f>
        <v>spain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ca-osasuna</v>
      </c>
      <c r="B524" s="5" t="s">
        <v>52</v>
      </c>
      <c r="C524" t="str">
        <f>_xlfn.TEXTBEFORE(_xlfn.TEXTAFTER(Tabla1[[#This Row],[ENLACE]],"/",1),"/")</f>
        <v>spain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real-oviedo</v>
      </c>
      <c r="B525" s="2" t="s">
        <v>521</v>
      </c>
      <c r="C525" t="str">
        <f>_xlfn.TEXTBEFORE(_xlfn.TEXTAFTER(Tabla1[[#This Row],[ENLACE]],"/",1),"/")</f>
        <v>spain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rayo-vallecano</v>
      </c>
      <c r="B526" s="5" t="s">
        <v>53</v>
      </c>
      <c r="C526" t="str">
        <f>_xlfn.TEXTBEFORE(_xlfn.TEXTAFTER(Tabla1[[#This Row],[ENLACE]],"/",1),"/")</f>
        <v>spain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real-madrid-cf</v>
      </c>
      <c r="B527" s="2" t="s">
        <v>54</v>
      </c>
      <c r="C527" t="str">
        <f>_xlfn.TEXTBEFORE(_xlfn.TEXTAFTER(Tabla1[[#This Row],[ENLACE]],"/",1),"/")</f>
        <v>spain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real-sociedad</v>
      </c>
      <c r="B528" s="5" t="s">
        <v>55</v>
      </c>
      <c r="C528" t="str">
        <f>_xlfn.TEXTBEFORE(_xlfn.TEXTAFTER(Tabla1[[#This Row],[ENLACE]],"/",1),"/")</f>
        <v>spain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sevilla-fc</v>
      </c>
      <c r="B529" s="2" t="s">
        <v>56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valencia-cf</v>
      </c>
      <c r="B530" s="5" t="s">
        <v>57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villarreal-cf</v>
      </c>
      <c r="B531" s="2" t="s">
        <v>59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albacete-balompie</v>
      </c>
      <c r="B532" s="5" t="s">
        <v>437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ud-almeria</v>
      </c>
      <c r="B533" s="2" t="s">
        <v>438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fc-andorra</v>
      </c>
      <c r="B534" s="5" t="s">
        <v>507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burgos-cf</v>
      </c>
      <c r="B535" s="2" t="s">
        <v>439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cadiz-cf</v>
      </c>
      <c r="B536" s="5" t="s">
        <v>440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cd-castellon</v>
      </c>
      <c r="B537" s="2" t="s">
        <v>441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ad-ceuta-fc</v>
      </c>
      <c r="B538" s="5" t="s">
        <v>508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cordoba-cf</v>
      </c>
      <c r="B539" s="2" t="s">
        <v>442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cultural-y-deportiva-leonesa</v>
      </c>
      <c r="B540" s="5" t="s">
        <v>509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sd-eibar</v>
      </c>
      <c r="B541" s="2" t="s">
        <v>443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sporting-de-gijon</v>
      </c>
      <c r="B542" s="5" t="s">
        <v>444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granada-cf</v>
      </c>
      <c r="B543" s="2" t="s">
        <v>445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sd-huesca</v>
      </c>
      <c r="B544" s="5" t="s">
        <v>446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deportivo-de-la-coruna</v>
      </c>
      <c r="B545" s="2" t="s">
        <v>447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ud-las-palmas</v>
      </c>
      <c r="B546" s="5" t="s">
        <v>49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cd-leganes</v>
      </c>
      <c r="B547" s="2" t="s">
        <v>50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malaga-cf</v>
      </c>
      <c r="B548" s="5" t="s">
        <v>448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cd-mirandes</v>
      </c>
      <c r="B549" s="2" t="s">
        <v>449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racing-de-santander</v>
      </c>
      <c r="B550" s="5" t="s">
        <v>450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real-sociedad-b</v>
      </c>
      <c r="B551" s="2" t="s">
        <v>510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real-valladolid</v>
      </c>
      <c r="B552" s="5" t="s">
        <v>58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real-zaragoza</v>
      </c>
      <c r="B553" s="2" t="s">
        <v>451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aik</v>
      </c>
      <c r="B554" s="5" t="s">
        <v>452</v>
      </c>
      <c r="C554" t="str">
        <f>_xlfn.TEXTBEFORE(_xlfn.TEXTAFTER(Tabla1[[#This Row],[ENLACE]],"/",1),"/")</f>
        <v>sweden</v>
      </c>
      <c r="D554" s="8" t="str">
        <f ca="1">IF(VLOOKUP(Tabla1[[#This Row],[PAIS]],$G$2:$H$34,2)="x","SI","NO")</f>
        <v>SI</v>
      </c>
    </row>
    <row r="555" spans="1:4" x14ac:dyDescent="0.3">
      <c r="A555" t="str">
        <f>MID(Tabla1[[#This Row],[ENLACE]],FIND("~",SUBSTITUTE(Tabla1[[#This Row],[ENLACE]],"/","~",2))+1,LEN(Tabla1[[#This Row],[ENLACE]]))</f>
        <v>if-brommapojkarna</v>
      </c>
      <c r="B555" s="2" t="s">
        <v>453</v>
      </c>
      <c r="C555" t="str">
        <f>_xlfn.TEXTBEFORE(_xlfn.TEXTAFTER(Tabla1[[#This Row],[ENLACE]],"/",1),"/")</f>
        <v>sweden</v>
      </c>
      <c r="D555" s="8" t="str">
        <f ca="1">IF(VLOOKUP(Tabla1[[#This Row],[PAIS]],$G$2:$H$34,2)="x","SI","NO")</f>
        <v>SI</v>
      </c>
    </row>
    <row r="556" spans="1:4" x14ac:dyDescent="0.3">
      <c r="A556" t="str">
        <f>MID(Tabla1[[#This Row],[ENLACE]],FIND("~",SUBSTITUTE(Tabla1[[#This Row],[ENLACE]],"/","~",2))+1,LEN(Tabla1[[#This Row],[ENLACE]]))</f>
        <v>degerfors-if</v>
      </c>
      <c r="B556" s="5" t="s">
        <v>454</v>
      </c>
      <c r="C556" t="str">
        <f>_xlfn.TEXTBEFORE(_xlfn.TEXTAFTER(Tabla1[[#This Row],[ENLACE]],"/",1),"/")</f>
        <v>sweden</v>
      </c>
      <c r="D556" s="8" t="str">
        <f ca="1">IF(VLOOKUP(Tabla1[[#This Row],[PAIS]],$G$2:$H$34,2)="x","SI","NO")</f>
        <v>SI</v>
      </c>
    </row>
    <row r="557" spans="1:4" x14ac:dyDescent="0.3">
      <c r="A557" t="str">
        <f>MID(Tabla1[[#This Row],[ENLACE]],FIND("~",SUBSTITUTE(Tabla1[[#This Row],[ENLACE]],"/","~",2))+1,LEN(Tabla1[[#This Row],[ENLACE]]))</f>
        <v>djurgardens-if</v>
      </c>
      <c r="B557" s="2" t="s">
        <v>455</v>
      </c>
      <c r="C557" t="str">
        <f>_xlfn.TEXTBEFORE(_xlfn.TEXTAFTER(Tabla1[[#This Row],[ENLACE]],"/",1),"/")</f>
        <v>sweden</v>
      </c>
      <c r="D557" s="8" t="str">
        <f ca="1">IF(VLOOKUP(Tabla1[[#This Row],[PAIS]],$G$2:$H$34,2)="x","SI","NO")</f>
        <v>SI</v>
      </c>
    </row>
    <row r="558" spans="1:4" x14ac:dyDescent="0.3">
      <c r="A558" t="str">
        <f>MID(Tabla1[[#This Row],[ENLACE]],FIND("~",SUBSTITUTE(Tabla1[[#This Row],[ENLACE]],"/","~",2))+1,LEN(Tabla1[[#This Row],[ENLACE]]))</f>
        <v>if-elfsborg</v>
      </c>
      <c r="B558" s="5" t="s">
        <v>456</v>
      </c>
      <c r="C558" t="str">
        <f>_xlfn.TEXTBEFORE(_xlfn.TEXTAFTER(Tabla1[[#This Row],[ENLACE]],"/",1),"/")</f>
        <v>sweden</v>
      </c>
      <c r="D558" s="8" t="str">
        <f ca="1">IF(VLOOKUP(Tabla1[[#This Row],[PAIS]],$G$2:$H$34,2)="x","SI","NO")</f>
        <v>SI</v>
      </c>
    </row>
    <row r="559" spans="1:4" x14ac:dyDescent="0.3">
      <c r="A559" t="str">
        <f>MID(Tabla1[[#This Row],[ENLACE]],FIND("~",SUBSTITUTE(Tabla1[[#This Row],[ENLACE]],"/","~",2))+1,LEN(Tabla1[[#This Row],[ENLACE]]))</f>
        <v>gais</v>
      </c>
      <c r="B559" s="2" t="s">
        <v>457</v>
      </c>
      <c r="C559" t="str">
        <f>_xlfn.TEXTBEFORE(_xlfn.TEXTAFTER(Tabla1[[#This Row],[ENLACE]],"/",1),"/")</f>
        <v>sweden</v>
      </c>
      <c r="D559" s="8" t="str">
        <f ca="1">IF(VLOOKUP(Tabla1[[#This Row],[PAIS]],$G$2:$H$34,2)="x","SI","NO")</f>
        <v>SI</v>
      </c>
    </row>
    <row r="560" spans="1:4" x14ac:dyDescent="0.3">
      <c r="A560" t="str">
        <f>MID(Tabla1[[#This Row],[ENLACE]],FIND("~",SUBSTITUTE(Tabla1[[#This Row],[ENLACE]],"/","~",2))+1,LEN(Tabla1[[#This Row],[ENLACE]]))</f>
        <v>ifk-goteborg</v>
      </c>
      <c r="B560" s="5" t="s">
        <v>458</v>
      </c>
      <c r="C560" t="str">
        <f>_xlfn.TEXTBEFORE(_xlfn.TEXTAFTER(Tabla1[[#This Row],[ENLACE]],"/",1),"/")</f>
        <v>sweden</v>
      </c>
      <c r="D560" s="8" t="str">
        <f ca="1">IF(VLOOKUP(Tabla1[[#This Row],[PAIS]],$G$2:$H$34,2)="x","SI","NO")</f>
        <v>SI</v>
      </c>
    </row>
    <row r="561" spans="1:4" x14ac:dyDescent="0.3">
      <c r="A561" t="str">
        <f>MID(Tabla1[[#This Row],[ENLACE]],FIND("~",SUBSTITUTE(Tabla1[[#This Row],[ENLACE]],"/","~",2))+1,LEN(Tabla1[[#This Row],[ENLACE]]))</f>
        <v>bk-hacken</v>
      </c>
      <c r="B561" s="2" t="s">
        <v>459</v>
      </c>
      <c r="C561" t="str">
        <f>_xlfn.TEXTBEFORE(_xlfn.TEXTAFTER(Tabla1[[#This Row],[ENLACE]],"/",1),"/")</f>
        <v>sweden</v>
      </c>
      <c r="D561" s="8" t="str">
        <f ca="1">IF(VLOOKUP(Tabla1[[#This Row],[PAIS]],$G$2:$H$34,2)="x","SI","NO")</f>
        <v>SI</v>
      </c>
    </row>
    <row r="562" spans="1:4" x14ac:dyDescent="0.3">
      <c r="A562" t="str">
        <f>MID(Tabla1[[#This Row],[ENLACE]],FIND("~",SUBSTITUTE(Tabla1[[#This Row],[ENLACE]],"/","~",2))+1,LEN(Tabla1[[#This Row],[ENLACE]]))</f>
        <v>halmstads-bk</v>
      </c>
      <c r="B562" s="5" t="s">
        <v>460</v>
      </c>
      <c r="C562" t="str">
        <f>_xlfn.TEXTBEFORE(_xlfn.TEXTAFTER(Tabla1[[#This Row],[ENLACE]],"/",1),"/")</f>
        <v>sweden</v>
      </c>
      <c r="D562" s="8" t="str">
        <f ca="1">IF(VLOOKUP(Tabla1[[#This Row],[PAIS]],$G$2:$H$34,2)="x","SI","NO")</f>
        <v>SI</v>
      </c>
    </row>
    <row r="563" spans="1:4" x14ac:dyDescent="0.3">
      <c r="A563" t="str">
        <f>MID(Tabla1[[#This Row],[ENLACE]],FIND("~",SUBSTITUTE(Tabla1[[#This Row],[ENLACE]],"/","~",2))+1,LEN(Tabla1[[#This Row],[ENLACE]]))</f>
        <v>hammarby-if</v>
      </c>
      <c r="B563" s="2" t="s">
        <v>461</v>
      </c>
      <c r="C563" t="str">
        <f>_xlfn.TEXTBEFORE(_xlfn.TEXTAFTER(Tabla1[[#This Row],[ENLACE]],"/",1),"/")</f>
        <v>sweden</v>
      </c>
      <c r="D563" s="8" t="str">
        <f ca="1">IF(VLOOKUP(Tabla1[[#This Row],[PAIS]],$G$2:$H$34,2)="x","SI","NO")</f>
        <v>SI</v>
      </c>
    </row>
    <row r="564" spans="1:4" x14ac:dyDescent="0.3">
      <c r="A564" t="str">
        <f>MID(Tabla1[[#This Row],[ENLACE]],FIND("~",SUBSTITUTE(Tabla1[[#This Row],[ENLACE]],"/","~",2))+1,LEN(Tabla1[[#This Row],[ENLACE]]))</f>
        <v>kalmar-ff</v>
      </c>
      <c r="B564" s="5" t="s">
        <v>592</v>
      </c>
      <c r="C564" t="str">
        <f>_xlfn.TEXTBEFORE(_xlfn.TEXTAFTER(Tabla1[[#This Row],[ENLACE]],"/",1),"/")</f>
        <v>sweden</v>
      </c>
      <c r="D564" s="8" t="str">
        <f ca="1">IF(VLOOKUP(Tabla1[[#This Row],[PAIS]],$G$2:$H$34,2)="x","SI","NO")</f>
        <v>SI</v>
      </c>
    </row>
    <row r="565" spans="1:4" x14ac:dyDescent="0.3">
      <c r="A565" t="str">
        <f>MID(Tabla1[[#This Row],[ENLACE]],FIND("~",SUBSTITUTE(Tabla1[[#This Row],[ENLACE]],"/","~",2))+1,LEN(Tabla1[[#This Row],[ENLACE]]))</f>
        <v>malmo-ff</v>
      </c>
      <c r="B565" s="2" t="s">
        <v>462</v>
      </c>
      <c r="C565" t="str">
        <f>_xlfn.TEXTBEFORE(_xlfn.TEXTAFTER(Tabla1[[#This Row],[ENLACE]],"/",1),"/")</f>
        <v>sweden</v>
      </c>
      <c r="D565" s="8" t="str">
        <f ca="1">IF(VLOOKUP(Tabla1[[#This Row],[PAIS]],$G$2:$H$34,2)="x","SI","NO")</f>
        <v>SI</v>
      </c>
    </row>
    <row r="566" spans="1:4" x14ac:dyDescent="0.3">
      <c r="A566" t="str">
        <f>MID(Tabla1[[#This Row],[ENLACE]],FIND("~",SUBSTITUTE(Tabla1[[#This Row],[ENLACE]],"/","~",2))+1,LEN(Tabla1[[#This Row],[ENLACE]]))</f>
        <v>mjallby-aif</v>
      </c>
      <c r="B566" s="5" t="s">
        <v>463</v>
      </c>
      <c r="C566" t="str">
        <f>_xlfn.TEXTBEFORE(_xlfn.TEXTAFTER(Tabla1[[#This Row],[ENLACE]],"/",1),"/")</f>
        <v>sweden</v>
      </c>
      <c r="D566" s="8" t="str">
        <f ca="1">IF(VLOOKUP(Tabla1[[#This Row],[PAIS]],$G$2:$H$34,2)="x","SI","NO")</f>
        <v>SI</v>
      </c>
    </row>
    <row r="567" spans="1:4" x14ac:dyDescent="0.3">
      <c r="A567" t="str">
        <f>MID(Tabla1[[#This Row],[ENLACE]],FIND("~",SUBSTITUTE(Tabla1[[#This Row],[ENLACE]],"/","~",2))+1,LEN(Tabla1[[#This Row],[ENLACE]]))</f>
        <v>orgryte-is</v>
      </c>
      <c r="B567" s="2" t="s">
        <v>593</v>
      </c>
      <c r="C567" t="str">
        <f>_xlfn.TEXTBEFORE(_xlfn.TEXTAFTER(Tabla1[[#This Row],[ENLACE]],"/",1),"/")</f>
        <v>sweden</v>
      </c>
      <c r="D567" s="8" t="str">
        <f ca="1">IF(VLOOKUP(Tabla1[[#This Row],[PAIS]],$G$2:$H$34,2)="x","SI","NO")</f>
        <v>SI</v>
      </c>
    </row>
    <row r="568" spans="1:4" x14ac:dyDescent="0.3">
      <c r="A568" t="str">
        <f>MID(Tabla1[[#This Row],[ENLACE]],FIND("~",SUBSTITUTE(Tabla1[[#This Row],[ENLACE]],"/","~",2))+1,LEN(Tabla1[[#This Row],[ENLACE]]))</f>
        <v>ik-sirius</v>
      </c>
      <c r="B568" s="5" t="s">
        <v>464</v>
      </c>
      <c r="C568" t="str">
        <f>_xlfn.TEXTBEFORE(_xlfn.TEXTAFTER(Tabla1[[#This Row],[ENLACE]],"/",1),"/")</f>
        <v>sweden</v>
      </c>
      <c r="D568" s="8" t="str">
        <f ca="1">IF(VLOOKUP(Tabla1[[#This Row],[PAIS]],$G$2:$H$34,2)="x","SI","NO")</f>
        <v>SI</v>
      </c>
    </row>
    <row r="569" spans="1:4" x14ac:dyDescent="0.3">
      <c r="A569" t="str">
        <f>MID(Tabla1[[#This Row],[ENLACE]],FIND("~",SUBSTITUTE(Tabla1[[#This Row],[ENLACE]],"/","~",2))+1,LEN(Tabla1[[#This Row],[ENLACE]]))</f>
        <v>vasteras-sk</v>
      </c>
      <c r="B569" s="2" t="s">
        <v>594</v>
      </c>
      <c r="C569" t="str">
        <f>_xlfn.TEXTBEFORE(_xlfn.TEXTAFTER(Tabla1[[#This Row],[ENLACE]],"/",1),"/")</f>
        <v>sweden</v>
      </c>
      <c r="D569" s="8" t="str">
        <f ca="1">IF(VLOOKUP(Tabla1[[#This Row],[PAIS]],$G$2:$H$34,2)="x","SI","NO")</f>
        <v>SI</v>
      </c>
    </row>
    <row r="570" spans="1:4" x14ac:dyDescent="0.3">
      <c r="A570" t="str">
        <f>MID(Tabla1[[#This Row],[ENLACE]],FIND("~",SUBSTITUTE(Tabla1[[#This Row],[ENLACE]],"/","~",2))+1,LEN(Tabla1[[#This Row],[ENLACE]]))</f>
        <v>fc-basel</v>
      </c>
      <c r="B570" s="5" t="s">
        <v>465</v>
      </c>
      <c r="C570" t="str">
        <f>_xlfn.TEXTBEFORE(_xlfn.TEXTAFTER(Tabla1[[#This Row],[ENLACE]],"/",1),"/")</f>
        <v>switzerland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grasshopper-club-zurich</v>
      </c>
      <c r="B571" s="2" t="s">
        <v>466</v>
      </c>
      <c r="C571" t="str">
        <f>_xlfn.TEXTBEFORE(_xlfn.TEXTAFTER(Tabla1[[#This Row],[ENLACE]],"/",1),"/")</f>
        <v>switzerland</v>
      </c>
      <c r="D571" s="8" t="str">
        <f ca="1">IF(VLOOKUP(Tabla1[[#This Row],[PAIS]],$G$2:$H$34,2)="x","SI","NO")</f>
        <v>SI</v>
      </c>
    </row>
    <row r="572" spans="1:4" x14ac:dyDescent="0.3">
      <c r="A572" t="str">
        <f>MID(Tabla1[[#This Row],[ENLACE]],FIND("~",SUBSTITUTE(Tabla1[[#This Row],[ENLACE]],"/","~",2))+1,LEN(Tabla1[[#This Row],[ENLACE]]))</f>
        <v>fc-lausanne-sport</v>
      </c>
      <c r="B572" s="5" t="s">
        <v>467</v>
      </c>
      <c r="C572" t="str">
        <f>_xlfn.TEXTBEFORE(_xlfn.TEXTAFTER(Tabla1[[#This Row],[ENLACE]],"/",1),"/")</f>
        <v>switzerland</v>
      </c>
      <c r="D572" s="8" t="str">
        <f ca="1">IF(VLOOKUP(Tabla1[[#This Row],[PAIS]],$G$2:$H$34,2)="x","SI","NO")</f>
        <v>SI</v>
      </c>
    </row>
    <row r="573" spans="1:4" x14ac:dyDescent="0.3">
      <c r="A573" t="str">
        <f>MID(Tabla1[[#This Row],[ENLACE]],FIND("~",SUBSTITUTE(Tabla1[[#This Row],[ENLACE]],"/","~",2))+1,LEN(Tabla1[[#This Row],[ENLACE]]))</f>
        <v>fc-lugano</v>
      </c>
      <c r="B573" s="2" t="s">
        <v>468</v>
      </c>
      <c r="C573" t="str">
        <f>_xlfn.TEXTBEFORE(_xlfn.TEXTAFTER(Tabla1[[#This Row],[ENLACE]],"/",1),"/")</f>
        <v>switzerland</v>
      </c>
      <c r="D573" s="8" t="str">
        <f ca="1">IF(VLOOKUP(Tabla1[[#This Row],[PAIS]],$G$2:$H$34,2)="x","SI","NO")</f>
        <v>SI</v>
      </c>
    </row>
    <row r="574" spans="1:4" x14ac:dyDescent="0.3">
      <c r="A574" t="str">
        <f>MID(Tabla1[[#This Row],[ENLACE]],FIND("~",SUBSTITUTE(Tabla1[[#This Row],[ENLACE]],"/","~",2))+1,LEN(Tabla1[[#This Row],[ENLACE]]))</f>
        <v>fc-luzern</v>
      </c>
      <c r="B574" s="5" t="s">
        <v>469</v>
      </c>
      <c r="C574" t="str">
        <f>_xlfn.TEXTBEFORE(_xlfn.TEXTAFTER(Tabla1[[#This Row],[ENLACE]],"/",1),"/")</f>
        <v>switzerland</v>
      </c>
      <c r="D574" s="8" t="str">
        <f ca="1">IF(VLOOKUP(Tabla1[[#This Row],[PAIS]],$G$2:$H$34,2)="x","SI","NO")</f>
        <v>SI</v>
      </c>
    </row>
    <row r="575" spans="1:4" x14ac:dyDescent="0.3">
      <c r="A575" t="str">
        <f>MID(Tabla1[[#This Row],[ENLACE]],FIND("~",SUBSTITUTE(Tabla1[[#This Row],[ENLACE]],"/","~",2))+1,LEN(Tabla1[[#This Row],[ENLACE]]))</f>
        <v>servette-fc</v>
      </c>
      <c r="B575" s="6" t="s">
        <v>470</v>
      </c>
      <c r="C575" t="str">
        <f>_xlfn.TEXTBEFORE(_xlfn.TEXTAFTER(Tabla1[[#This Row],[ENLACE]],"/",1),"/")</f>
        <v>switzerland</v>
      </c>
      <c r="D575" s="8" t="str">
        <f ca="1">IF(VLOOKUP(Tabla1[[#This Row],[PAIS]],$G$2:$H$34,2)="x","SI","NO")</f>
        <v>SI</v>
      </c>
    </row>
    <row r="576" spans="1:4" x14ac:dyDescent="0.3">
      <c r="A576" t="str">
        <f>MID(Tabla1[[#This Row],[ENLACE]],FIND("~",SUBSTITUTE(Tabla1[[#This Row],[ENLACE]],"/","~",2))+1,LEN(Tabla1[[#This Row],[ENLACE]]))</f>
        <v>fc-sion</v>
      </c>
      <c r="B576" t="s">
        <v>471</v>
      </c>
      <c r="C576" t="str">
        <f>_xlfn.TEXTBEFORE(_xlfn.TEXTAFTER(Tabla1[[#This Row],[ENLACE]],"/",1),"/")</f>
        <v>switzerland</v>
      </c>
      <c r="D576" s="8" t="str">
        <f ca="1">IF(VLOOKUP(Tabla1[[#This Row],[PAIS]],$G$2:$H$34,2)="x","SI","NO")</f>
        <v>SI</v>
      </c>
    </row>
    <row r="577" spans="1:4" x14ac:dyDescent="0.3">
      <c r="A577" t="str">
        <f>MID(Tabla1[[#This Row],[ENLACE]],FIND("~",SUBSTITUTE(Tabla1[[#This Row],[ENLACE]],"/","~",2))+1,LEN(Tabla1[[#This Row],[ENLACE]]))</f>
        <v>fc-st-gallen</v>
      </c>
      <c r="B577" s="7" t="s">
        <v>472</v>
      </c>
      <c r="C577" t="str">
        <f>_xlfn.TEXTBEFORE(_xlfn.TEXTAFTER(Tabla1[[#This Row],[ENLACE]],"/",1),"/")</f>
        <v>switzerland</v>
      </c>
      <c r="D577" s="8" t="str">
        <f ca="1">IF(VLOOKUP(Tabla1[[#This Row],[PAIS]],$G$2:$H$34,2)="x","SI","NO")</f>
        <v>SI</v>
      </c>
    </row>
    <row r="578" spans="1:4" x14ac:dyDescent="0.3">
      <c r="A578" t="str">
        <f>MID(Tabla1[[#This Row],[ENLACE]],FIND("~",SUBSTITUTE(Tabla1[[#This Row],[ENLACE]],"/","~",2))+1,LEN(Tabla1[[#This Row],[ENLACE]]))</f>
        <v>fc-thun</v>
      </c>
      <c r="B578" t="s">
        <v>473</v>
      </c>
      <c r="C578" t="str">
        <f>_xlfn.TEXTBEFORE(_xlfn.TEXTAFTER(Tabla1[[#This Row],[ENLACE]],"/",1),"/")</f>
        <v>switzerland</v>
      </c>
      <c r="D578" s="8" t="str">
        <f ca="1">IF(VLOOKUP(Tabla1[[#This Row],[PAIS]],$G$2:$H$34,2)="x","SI","NO")</f>
        <v>SI</v>
      </c>
    </row>
    <row r="579" spans="1:4" x14ac:dyDescent="0.3">
      <c r="A579" t="str">
        <f>MID(Tabla1[[#This Row],[ENLACE]],FIND("~",SUBSTITUTE(Tabla1[[#This Row],[ENLACE]],"/","~",2))+1,LEN(Tabla1[[#This Row],[ENLACE]]))</f>
        <v>fc-winterthur</v>
      </c>
      <c r="B579" s="7" t="s">
        <v>474</v>
      </c>
      <c r="C579" t="str">
        <f>_xlfn.TEXTBEFORE(_xlfn.TEXTAFTER(Tabla1[[#This Row],[ENLACE]],"/",1),"/")</f>
        <v>switzerland</v>
      </c>
      <c r="D579" s="8" t="str">
        <f ca="1">IF(VLOOKUP(Tabla1[[#This Row],[PAIS]],$G$2:$H$34,2)="x","SI","NO")</f>
        <v>SI</v>
      </c>
    </row>
    <row r="580" spans="1:4" x14ac:dyDescent="0.3">
      <c r="A580" t="str">
        <f>MID(Tabla1[[#This Row],[ENLACE]],FIND("~",SUBSTITUTE(Tabla1[[#This Row],[ENLACE]],"/","~",2))+1,LEN(Tabla1[[#This Row],[ENLACE]]))</f>
        <v>bsc-young-boys</v>
      </c>
      <c r="B580" t="s">
        <v>475</v>
      </c>
      <c r="C580" t="str">
        <f>_xlfn.TEXTBEFORE(_xlfn.TEXTAFTER(Tabla1[[#This Row],[ENLACE]],"/",1),"/")</f>
        <v>switzerland</v>
      </c>
      <c r="D580" s="8" t="str">
        <f ca="1">IF(VLOOKUP(Tabla1[[#This Row],[PAIS]],$G$2:$H$34,2)="x","SI","NO")</f>
        <v>SI</v>
      </c>
    </row>
    <row r="581" spans="1:4" x14ac:dyDescent="0.3">
      <c r="A581" t="str">
        <f>MID(Tabla1[[#This Row],[ENLACE]],FIND("~",SUBSTITUTE(Tabla1[[#This Row],[ENLACE]],"/","~",2))+1,LEN(Tabla1[[#This Row],[ENLACE]]))</f>
        <v>fc-zurich</v>
      </c>
      <c r="B581" s="7" t="s">
        <v>476</v>
      </c>
      <c r="C581" t="str">
        <f>_xlfn.TEXTBEFORE(_xlfn.TEXTAFTER(Tabla1[[#This Row],[ENLACE]],"/",1),"/")</f>
        <v>switzerland</v>
      </c>
      <c r="D581" s="8" t="str">
        <f ca="1">IF(VLOOKUP(Tabla1[[#This Row],[PAIS]],$G$2:$H$34,2)="x","SI","NO")</f>
        <v>SI</v>
      </c>
    </row>
    <row r="582" spans="1:4" x14ac:dyDescent="0.3">
      <c r="A582" t="str">
        <f>MID(Tabla1[[#This Row],[ENLACE]],FIND("~",SUBSTITUTE(Tabla1[[#This Row],[ENLACE]],"/","~",2))+1,LEN(Tabla1[[#This Row],[ENLACE]]))</f>
        <v>atlanta-united-fc</v>
      </c>
      <c r="B582" t="s">
        <v>477</v>
      </c>
      <c r="C582" t="str">
        <f>_xlfn.TEXTBEFORE(_xlfn.TEXTAFTER(Tabla1[[#This Row],[ENLACE]],"/",1),"/")</f>
        <v>usa</v>
      </c>
      <c r="D582" s="8" t="str">
        <f ca="1">IF(VLOOKUP(Tabla1[[#This Row],[PAIS]],$G$2:$H$34,2)="x","SI","NO")</f>
        <v>SI</v>
      </c>
    </row>
    <row r="583" spans="1:4" x14ac:dyDescent="0.3">
      <c r="A583" t="str">
        <f>MID(Tabla1[[#This Row],[ENLACE]],FIND("~",SUBSTITUTE(Tabla1[[#This Row],[ENLACE]],"/","~",2))+1,LEN(Tabla1[[#This Row],[ENLACE]]))</f>
        <v>austin-fc</v>
      </c>
      <c r="B583" s="7" t="s">
        <v>478</v>
      </c>
      <c r="C583" t="str">
        <f>_xlfn.TEXTBEFORE(_xlfn.TEXTAFTER(Tabla1[[#This Row],[ENLACE]],"/",1),"/")</f>
        <v>usa</v>
      </c>
      <c r="D583" s="8" t="str">
        <f ca="1">IF(VLOOKUP(Tabla1[[#This Row],[PAIS]],$G$2:$H$34,2)="x","SI","NO")</f>
        <v>SI</v>
      </c>
    </row>
    <row r="584" spans="1:4" x14ac:dyDescent="0.3">
      <c r="A584" t="str">
        <f>MID(Tabla1[[#This Row],[ENLACE]],FIND("~",SUBSTITUTE(Tabla1[[#This Row],[ENLACE]],"/","~",2))+1,LEN(Tabla1[[#This Row],[ENLACE]]))</f>
        <v>club-de-foot-montreal</v>
      </c>
      <c r="B584" t="s">
        <v>479</v>
      </c>
      <c r="C584" t="str">
        <f>_xlfn.TEXTBEFORE(_xlfn.TEXTAFTER(Tabla1[[#This Row],[ENLACE]],"/",1),"/")</f>
        <v>usa</v>
      </c>
      <c r="D584" s="8" t="str">
        <f ca="1">IF(VLOOKUP(Tabla1[[#This Row],[PAIS]],$G$2:$H$34,2)="x","SI","NO")</f>
        <v>SI</v>
      </c>
    </row>
    <row r="585" spans="1:4" x14ac:dyDescent="0.3">
      <c r="A585" t="str">
        <f>MID(Tabla1[[#This Row],[ENLACE]],FIND("~",SUBSTITUTE(Tabla1[[#This Row],[ENLACE]],"/","~",2))+1,LEN(Tabla1[[#This Row],[ENLACE]]))</f>
        <v>charlotte-fc</v>
      </c>
      <c r="B585" s="7" t="s">
        <v>480</v>
      </c>
      <c r="C585" t="str">
        <f>_xlfn.TEXTBEFORE(_xlfn.TEXTAFTER(Tabla1[[#This Row],[ENLACE]],"/",1),"/")</f>
        <v>usa</v>
      </c>
      <c r="D585" s="8" t="str">
        <f ca="1">IF(VLOOKUP(Tabla1[[#This Row],[PAIS]],$G$2:$H$34,2)="x","SI","NO")</f>
        <v>SI</v>
      </c>
    </row>
    <row r="586" spans="1:4" x14ac:dyDescent="0.3">
      <c r="A586" t="str">
        <f>MID(Tabla1[[#This Row],[ENLACE]],FIND("~",SUBSTITUTE(Tabla1[[#This Row],[ENLACE]],"/","~",2))+1,LEN(Tabla1[[#This Row],[ENLACE]]))</f>
        <v>chicago-fire-fc</v>
      </c>
      <c r="B586" t="s">
        <v>481</v>
      </c>
      <c r="C586" t="str">
        <f>_xlfn.TEXTBEFORE(_xlfn.TEXTAFTER(Tabla1[[#This Row],[ENLACE]],"/",1),"/")</f>
        <v>usa</v>
      </c>
      <c r="D586" s="8" t="str">
        <f ca="1">IF(VLOOKUP(Tabla1[[#This Row],[PAIS]],$G$2:$H$34,2)="x","SI","NO")</f>
        <v>SI</v>
      </c>
    </row>
    <row r="587" spans="1:4" x14ac:dyDescent="0.3">
      <c r="A587" t="str">
        <f>MID(Tabla1[[#This Row],[ENLACE]],FIND("~",SUBSTITUTE(Tabla1[[#This Row],[ENLACE]],"/","~",2))+1,LEN(Tabla1[[#This Row],[ENLACE]]))</f>
        <v>fc-cincinnati</v>
      </c>
      <c r="B587" s="7" t="s">
        <v>482</v>
      </c>
      <c r="C587" t="str">
        <f>_xlfn.TEXTBEFORE(_xlfn.TEXTAFTER(Tabla1[[#This Row],[ENLACE]],"/",1),"/")</f>
        <v>usa</v>
      </c>
      <c r="D587" s="8" t="str">
        <f ca="1">IF(VLOOKUP(Tabla1[[#This Row],[PAIS]],$G$2:$H$34,2)="x","SI","NO")</f>
        <v>SI</v>
      </c>
    </row>
    <row r="588" spans="1:4" x14ac:dyDescent="0.3">
      <c r="A588" t="str">
        <f>MID(Tabla1[[#This Row],[ENLACE]],FIND("~",SUBSTITUTE(Tabla1[[#This Row],[ENLACE]],"/","~",2))+1,LEN(Tabla1[[#This Row],[ENLACE]]))</f>
        <v>colorado-rapids</v>
      </c>
      <c r="B588" t="s">
        <v>483</v>
      </c>
      <c r="C588" t="str">
        <f>_xlfn.TEXTBEFORE(_xlfn.TEXTAFTER(Tabla1[[#This Row],[ENLACE]],"/",1),"/")</f>
        <v>usa</v>
      </c>
      <c r="D588" s="8" t="str">
        <f ca="1">IF(VLOOKUP(Tabla1[[#This Row],[PAIS]],$G$2:$H$34,2)="x","SI","NO")</f>
        <v>SI</v>
      </c>
    </row>
    <row r="589" spans="1:4" x14ac:dyDescent="0.3">
      <c r="A589" t="str">
        <f>MID(Tabla1[[#This Row],[ENLACE]],FIND("~",SUBSTITUTE(Tabla1[[#This Row],[ENLACE]],"/","~",2))+1,LEN(Tabla1[[#This Row],[ENLACE]]))</f>
        <v>columbus-crew-sc</v>
      </c>
      <c r="B589" s="7" t="s">
        <v>484</v>
      </c>
      <c r="C589" t="str">
        <f>_xlfn.TEXTBEFORE(_xlfn.TEXTAFTER(Tabla1[[#This Row],[ENLACE]],"/",1),"/")</f>
        <v>usa</v>
      </c>
      <c r="D589" s="8" t="str">
        <f ca="1">IF(VLOOKUP(Tabla1[[#This Row],[PAIS]],$G$2:$H$34,2)="x","SI","NO")</f>
        <v>SI</v>
      </c>
    </row>
    <row r="590" spans="1:4" x14ac:dyDescent="0.3">
      <c r="A590" t="str">
        <f>MID(Tabla1[[#This Row],[ENLACE]],FIND("~",SUBSTITUTE(Tabla1[[#This Row],[ENLACE]],"/","~",2))+1,LEN(Tabla1[[#This Row],[ENLACE]]))</f>
        <v>dc-united</v>
      </c>
      <c r="B590" t="s">
        <v>485</v>
      </c>
      <c r="C590" t="str">
        <f>_xlfn.TEXTBEFORE(_xlfn.TEXTAFTER(Tabla1[[#This Row],[ENLACE]],"/",1),"/")</f>
        <v>usa</v>
      </c>
      <c r="D590" s="8" t="str">
        <f ca="1">IF(VLOOKUP(Tabla1[[#This Row],[PAIS]],$G$2:$H$34,2)="x","SI","NO")</f>
        <v>SI</v>
      </c>
    </row>
    <row r="591" spans="1:4" x14ac:dyDescent="0.3">
      <c r="A591" t="str">
        <f>MID(Tabla1[[#This Row],[ENLACE]],FIND("~",SUBSTITUTE(Tabla1[[#This Row],[ENLACE]],"/","~",2))+1,LEN(Tabla1[[#This Row],[ENLACE]]))</f>
        <v>fc-dallas</v>
      </c>
      <c r="B591" s="7" t="s">
        <v>486</v>
      </c>
      <c r="C591" t="str">
        <f>_xlfn.TEXTBEFORE(_xlfn.TEXTAFTER(Tabla1[[#This Row],[ENLACE]],"/",1),"/")</f>
        <v>usa</v>
      </c>
      <c r="D591" s="8" t="str">
        <f ca="1">IF(VLOOKUP(Tabla1[[#This Row],[PAIS]],$G$2:$H$34,2)="x","SI","NO")</f>
        <v>SI</v>
      </c>
    </row>
    <row r="592" spans="1:4" x14ac:dyDescent="0.3">
      <c r="A592" t="str">
        <f>MID(Tabla1[[#This Row],[ENLACE]],FIND("~",SUBSTITUTE(Tabla1[[#This Row],[ENLACE]],"/","~",2))+1,LEN(Tabla1[[#This Row],[ENLACE]]))</f>
        <v>houston-dynamo</v>
      </c>
      <c r="B592" t="s">
        <v>487</v>
      </c>
      <c r="C592" t="str">
        <f>_xlfn.TEXTBEFORE(_xlfn.TEXTAFTER(Tabla1[[#This Row],[ENLACE]],"/",1),"/")</f>
        <v>usa</v>
      </c>
      <c r="D592" s="8" t="str">
        <f ca="1">IF(VLOOKUP(Tabla1[[#This Row],[PAIS]],$G$2:$H$34,2)="x","SI","NO")</f>
        <v>SI</v>
      </c>
    </row>
    <row r="593" spans="1:4" x14ac:dyDescent="0.3">
      <c r="A593" t="str">
        <f>MID(Tabla1[[#This Row],[ENLACE]],FIND("~",SUBSTITUTE(Tabla1[[#This Row],[ENLACE]],"/","~",2))+1,LEN(Tabla1[[#This Row],[ENLACE]]))</f>
        <v>inter-miami-cf</v>
      </c>
      <c r="B593" s="7" t="s">
        <v>488</v>
      </c>
      <c r="C593" t="str">
        <f>_xlfn.TEXTBEFORE(_xlfn.TEXTAFTER(Tabla1[[#This Row],[ENLACE]],"/",1),"/")</f>
        <v>usa</v>
      </c>
      <c r="D593" s="8" t="str">
        <f ca="1">IF(VLOOKUP(Tabla1[[#This Row],[PAIS]],$G$2:$H$34,2)="x","SI","NO")</f>
        <v>SI</v>
      </c>
    </row>
    <row r="594" spans="1:4" x14ac:dyDescent="0.3">
      <c r="A594" t="str">
        <f>MID(Tabla1[[#This Row],[ENLACE]],FIND("~",SUBSTITUTE(Tabla1[[#This Row],[ENLACE]],"/","~",2))+1,LEN(Tabla1[[#This Row],[ENLACE]]))</f>
        <v>los-angeles-fc</v>
      </c>
      <c r="B594" t="s">
        <v>489</v>
      </c>
      <c r="C594" t="str">
        <f>_xlfn.TEXTBEFORE(_xlfn.TEXTAFTER(Tabla1[[#This Row],[ENLACE]],"/",1),"/")</f>
        <v>usa</v>
      </c>
      <c r="D594" s="8" t="str">
        <f ca="1">IF(VLOOKUP(Tabla1[[#This Row],[PAIS]],$G$2:$H$34,2)="x","SI","NO")</f>
        <v>SI</v>
      </c>
    </row>
    <row r="595" spans="1:4" x14ac:dyDescent="0.3">
      <c r="A595" t="str">
        <f>MID(Tabla1[[#This Row],[ENLACE]],FIND("~",SUBSTITUTE(Tabla1[[#This Row],[ENLACE]],"/","~",2))+1,LEN(Tabla1[[#This Row],[ENLACE]]))</f>
        <v>los-angeles-galaxy</v>
      </c>
      <c r="B595" s="7" t="s">
        <v>490</v>
      </c>
      <c r="C595" t="str">
        <f>_xlfn.TEXTBEFORE(_xlfn.TEXTAFTER(Tabla1[[#This Row],[ENLACE]],"/",1),"/")</f>
        <v>usa</v>
      </c>
      <c r="D595" s="8" t="str">
        <f ca="1">IF(VLOOKUP(Tabla1[[#This Row],[PAIS]],$G$2:$H$34,2)="x","SI","NO")</f>
        <v>SI</v>
      </c>
    </row>
    <row r="596" spans="1:4" x14ac:dyDescent="0.3">
      <c r="A596" t="str">
        <f>MID(Tabla1[[#This Row],[ENLACE]],FIND("~",SUBSTITUTE(Tabla1[[#This Row],[ENLACE]],"/","~",2))+1,LEN(Tabla1[[#This Row],[ENLACE]]))</f>
        <v>minnesota-united-fc</v>
      </c>
      <c r="B596" t="s">
        <v>491</v>
      </c>
      <c r="C596" t="str">
        <f>_xlfn.TEXTBEFORE(_xlfn.TEXTAFTER(Tabla1[[#This Row],[ENLACE]],"/",1),"/")</f>
        <v>usa</v>
      </c>
      <c r="D596" s="8" t="str">
        <f ca="1">IF(VLOOKUP(Tabla1[[#This Row],[PAIS]],$G$2:$H$34,2)="x","SI","NO")</f>
        <v>SI</v>
      </c>
    </row>
    <row r="597" spans="1:4" x14ac:dyDescent="0.3">
      <c r="A597" t="str">
        <f>MID(Tabla1[[#This Row],[ENLACE]],FIND("~",SUBSTITUTE(Tabla1[[#This Row],[ENLACE]],"/","~",2))+1,LEN(Tabla1[[#This Row],[ENLACE]]))</f>
        <v>nashville-sc</v>
      </c>
      <c r="B597" s="7" t="s">
        <v>492</v>
      </c>
      <c r="C597" t="str">
        <f>_xlfn.TEXTBEFORE(_xlfn.TEXTAFTER(Tabla1[[#This Row],[ENLACE]],"/",1),"/")</f>
        <v>usa</v>
      </c>
      <c r="D597" s="8" t="str">
        <f ca="1">IF(VLOOKUP(Tabla1[[#This Row],[PAIS]],$G$2:$H$34,2)="x","SI","NO")</f>
        <v>SI</v>
      </c>
    </row>
    <row r="598" spans="1:4" x14ac:dyDescent="0.3">
      <c r="A598" t="str">
        <f>MID(Tabla1[[#This Row],[ENLACE]],FIND("~",SUBSTITUTE(Tabla1[[#This Row],[ENLACE]],"/","~",2))+1,LEN(Tabla1[[#This Row],[ENLACE]]))</f>
        <v>new-england-revolution</v>
      </c>
      <c r="B598" t="s">
        <v>493</v>
      </c>
      <c r="C598" t="str">
        <f>_xlfn.TEXTBEFORE(_xlfn.TEXTAFTER(Tabla1[[#This Row],[ENLACE]],"/",1),"/")</f>
        <v>usa</v>
      </c>
      <c r="D598" s="8" t="str">
        <f ca="1">IF(VLOOKUP(Tabla1[[#This Row],[PAIS]],$G$2:$H$34,2)="x","SI","NO")</f>
        <v>SI</v>
      </c>
    </row>
    <row r="599" spans="1:4" x14ac:dyDescent="0.3">
      <c r="A599" t="str">
        <f>MID(Tabla1[[#This Row],[ENLACE]],FIND("~",SUBSTITUTE(Tabla1[[#This Row],[ENLACE]],"/","~",2))+1,LEN(Tabla1[[#This Row],[ENLACE]]))</f>
        <v>new-york-city-fc</v>
      </c>
      <c r="B599" s="7" t="s">
        <v>494</v>
      </c>
      <c r="C599" t="str">
        <f>_xlfn.TEXTBEFORE(_xlfn.TEXTAFTER(Tabla1[[#This Row],[ENLACE]],"/",1),"/")</f>
        <v>usa</v>
      </c>
      <c r="D599" s="8" t="str">
        <f ca="1">IF(VLOOKUP(Tabla1[[#This Row],[PAIS]],$G$2:$H$34,2)="x","SI","NO")</f>
        <v>SI</v>
      </c>
    </row>
    <row r="600" spans="1:4" x14ac:dyDescent="0.3">
      <c r="A600" t="str">
        <f>MID(Tabla1[[#This Row],[ENLACE]],FIND("~",SUBSTITUTE(Tabla1[[#This Row],[ENLACE]],"/","~",2))+1,LEN(Tabla1[[#This Row],[ENLACE]]))</f>
        <v>new-york-red-bulls</v>
      </c>
      <c r="B600" t="s">
        <v>495</v>
      </c>
      <c r="C600" t="str">
        <f>_xlfn.TEXTBEFORE(_xlfn.TEXTAFTER(Tabla1[[#This Row],[ENLACE]],"/",1),"/")</f>
        <v>usa</v>
      </c>
      <c r="D600" s="8" t="str">
        <f ca="1">IF(VLOOKUP(Tabla1[[#This Row],[PAIS]],$G$2:$H$34,2)="x","SI","NO")</f>
        <v>SI</v>
      </c>
    </row>
    <row r="601" spans="1:4" x14ac:dyDescent="0.3">
      <c r="A601" t="str">
        <f>MID(Tabla1[[#This Row],[ENLACE]],FIND("~",SUBSTITUTE(Tabla1[[#This Row],[ENLACE]],"/","~",2))+1,LEN(Tabla1[[#This Row],[ENLACE]]))</f>
        <v>orlando-city-sc</v>
      </c>
      <c r="B601" s="7" t="s">
        <v>496</v>
      </c>
      <c r="C601" t="str">
        <f>_xlfn.TEXTBEFORE(_xlfn.TEXTAFTER(Tabla1[[#This Row],[ENLACE]],"/",1),"/")</f>
        <v>usa</v>
      </c>
      <c r="D601" s="8" t="str">
        <f ca="1">IF(VLOOKUP(Tabla1[[#This Row],[PAIS]],$G$2:$H$34,2)="x","SI","NO")</f>
        <v>SI</v>
      </c>
    </row>
    <row r="602" spans="1:4" x14ac:dyDescent="0.3">
      <c r="A602" t="str">
        <f>MID(Tabla1[[#This Row],[ENLACE]],FIND("~",SUBSTITUTE(Tabla1[[#This Row],[ENLACE]],"/","~",2))+1,LEN(Tabla1[[#This Row],[ENLACE]]))</f>
        <v>philadelphia-union</v>
      </c>
      <c r="B602" t="s">
        <v>497</v>
      </c>
      <c r="C602" t="str">
        <f>_xlfn.TEXTBEFORE(_xlfn.TEXTAFTER(Tabla1[[#This Row],[ENLACE]],"/",1),"/")</f>
        <v>usa</v>
      </c>
      <c r="D602" s="8" t="str">
        <f ca="1">IF(VLOOKUP(Tabla1[[#This Row],[PAIS]],$G$2:$H$34,2)="x","SI","NO")</f>
        <v>SI</v>
      </c>
    </row>
    <row r="603" spans="1:4" x14ac:dyDescent="0.3">
      <c r="A603" t="str">
        <f>MID(Tabla1[[#This Row],[ENLACE]],FIND("~",SUBSTITUTE(Tabla1[[#This Row],[ENLACE]],"/","~",2))+1,LEN(Tabla1[[#This Row],[ENLACE]]))</f>
        <v>portland-timbers</v>
      </c>
      <c r="B603" s="7" t="s">
        <v>498</v>
      </c>
      <c r="C603" t="str">
        <f>_xlfn.TEXTBEFORE(_xlfn.TEXTAFTER(Tabla1[[#This Row],[ENLACE]],"/",1),"/")</f>
        <v>usa</v>
      </c>
      <c r="D603" s="8" t="str">
        <f ca="1">IF(VLOOKUP(Tabla1[[#This Row],[PAIS]],$G$2:$H$34,2)="x","SI","NO")</f>
        <v>SI</v>
      </c>
    </row>
    <row r="604" spans="1:4" x14ac:dyDescent="0.3">
      <c r="A604" t="str">
        <f>MID(Tabla1[[#This Row],[ENLACE]],FIND("~",SUBSTITUTE(Tabla1[[#This Row],[ENLACE]],"/","~",2))+1,LEN(Tabla1[[#This Row],[ENLACE]]))</f>
        <v>real-salt-lake</v>
      </c>
      <c r="B604" t="s">
        <v>499</v>
      </c>
      <c r="C604" t="str">
        <f>_xlfn.TEXTBEFORE(_xlfn.TEXTAFTER(Tabla1[[#This Row],[ENLACE]],"/",1),"/")</f>
        <v>usa</v>
      </c>
      <c r="D604" s="8" t="str">
        <f ca="1">IF(VLOOKUP(Tabla1[[#This Row],[PAIS]],$G$2:$H$34,2)="x","SI","NO")</f>
        <v>SI</v>
      </c>
    </row>
    <row r="605" spans="1:4" x14ac:dyDescent="0.3">
      <c r="A605" t="str">
        <f>MID(Tabla1[[#This Row],[ENLACE]],FIND("~",SUBSTITUTE(Tabla1[[#This Row],[ENLACE]],"/","~",2))+1,LEN(Tabla1[[#This Row],[ENLACE]]))</f>
        <v>san-diego-fc</v>
      </c>
      <c r="B605" s="7" t="s">
        <v>500</v>
      </c>
      <c r="C605" t="str">
        <f>_xlfn.TEXTBEFORE(_xlfn.TEXTAFTER(Tabla1[[#This Row],[ENLACE]],"/",1),"/")</f>
        <v>usa</v>
      </c>
      <c r="D605" s="8" t="str">
        <f ca="1">IF(VLOOKUP(Tabla1[[#This Row],[PAIS]],$G$2:$H$34,2)="x","SI","NO")</f>
        <v>SI</v>
      </c>
    </row>
    <row r="606" spans="1:4" x14ac:dyDescent="0.3">
      <c r="A606" t="str">
        <f>MID(Tabla1[[#This Row],[ENLACE]],FIND("~",SUBSTITUTE(Tabla1[[#This Row],[ENLACE]],"/","~",2))+1,LEN(Tabla1[[#This Row],[ENLACE]]))</f>
        <v>san-jose-earthquakes</v>
      </c>
      <c r="B606" t="s">
        <v>501</v>
      </c>
      <c r="C606" t="str">
        <f>_xlfn.TEXTBEFORE(_xlfn.TEXTAFTER(Tabla1[[#This Row],[ENLACE]],"/",1),"/")</f>
        <v>usa</v>
      </c>
      <c r="D606" s="8" t="str">
        <f ca="1">IF(VLOOKUP(Tabla1[[#This Row],[PAIS]],$G$2:$H$34,2)="x","SI","NO")</f>
        <v>SI</v>
      </c>
    </row>
    <row r="607" spans="1:4" x14ac:dyDescent="0.3">
      <c r="A607" t="str">
        <f>MID(Tabla1[[#This Row],[ENLACE]],FIND("~",SUBSTITUTE(Tabla1[[#This Row],[ENLACE]],"/","~",2))+1,LEN(Tabla1[[#This Row],[ENLACE]]))</f>
        <v>seattle-sounders-fc</v>
      </c>
      <c r="B607" s="7" t="s">
        <v>502</v>
      </c>
      <c r="C607" t="str">
        <f>_xlfn.TEXTBEFORE(_xlfn.TEXTAFTER(Tabla1[[#This Row],[ENLACE]],"/",1),"/")</f>
        <v>usa</v>
      </c>
      <c r="D607" s="8" t="str">
        <f ca="1">IF(VLOOKUP(Tabla1[[#This Row],[PAIS]],$G$2:$H$34,2)="x","SI","NO")</f>
        <v>SI</v>
      </c>
    </row>
    <row r="608" spans="1:4" x14ac:dyDescent="0.3">
      <c r="A608" t="str">
        <f>MID(Tabla1[[#This Row],[ENLACE]],FIND("~",SUBSTITUTE(Tabla1[[#This Row],[ENLACE]],"/","~",2))+1,LEN(Tabla1[[#This Row],[ENLACE]]))</f>
        <v>sporting-kansas-city</v>
      </c>
      <c r="B608" t="s">
        <v>503</v>
      </c>
      <c r="C608" t="str">
        <f>_xlfn.TEXTBEFORE(_xlfn.TEXTAFTER(Tabla1[[#This Row],[ENLACE]],"/",1),"/")</f>
        <v>usa</v>
      </c>
      <c r="D608" s="8" t="str">
        <f ca="1">IF(VLOOKUP(Tabla1[[#This Row],[PAIS]],$G$2:$H$34,2)="x","SI","NO")</f>
        <v>SI</v>
      </c>
    </row>
    <row r="609" spans="1:4" x14ac:dyDescent="0.3">
      <c r="A609" t="str">
        <f>MID(Tabla1[[#This Row],[ENLACE]],FIND("~",SUBSTITUTE(Tabla1[[#This Row],[ENLACE]],"/","~",2))+1,LEN(Tabla1[[#This Row],[ENLACE]]))</f>
        <v>st-louis-city-sc</v>
      </c>
      <c r="B609" s="7" t="s">
        <v>504</v>
      </c>
      <c r="C609" t="str">
        <f>_xlfn.TEXTBEFORE(_xlfn.TEXTAFTER(Tabla1[[#This Row],[ENLACE]],"/",1),"/")</f>
        <v>usa</v>
      </c>
      <c r="D609" s="8" t="str">
        <f ca="1">IF(VLOOKUP(Tabla1[[#This Row],[PAIS]],$G$2:$H$34,2)="x","SI","NO")</f>
        <v>SI</v>
      </c>
    </row>
    <row r="610" spans="1:4" x14ac:dyDescent="0.3">
      <c r="A610" t="str">
        <f>MID(Tabla1[[#This Row],[ENLACE]],FIND("~",SUBSTITUTE(Tabla1[[#This Row],[ENLACE]],"/","~",2))+1,LEN(Tabla1[[#This Row],[ENLACE]]))</f>
        <v>toronto-fc</v>
      </c>
      <c r="B610" t="s">
        <v>505</v>
      </c>
      <c r="C610" t="str">
        <f>_xlfn.TEXTBEFORE(_xlfn.TEXTAFTER(Tabla1[[#This Row],[ENLACE]],"/",1),"/")</f>
        <v>usa</v>
      </c>
      <c r="D610" s="8" t="str">
        <f ca="1">IF(VLOOKUP(Tabla1[[#This Row],[PAIS]],$G$2:$H$34,2)="x","SI","NO")</f>
        <v>SI</v>
      </c>
    </row>
    <row r="611" spans="1:4" x14ac:dyDescent="0.3">
      <c r="A611" t="str">
        <f>MID(Tabla1[[#This Row],[ENLACE]],FIND("~",SUBSTITUTE(Tabla1[[#This Row],[ENLACE]],"/","~",2))+1,LEN(Tabla1[[#This Row],[ENLACE]]))</f>
        <v>vancouver-whitecaps-fc</v>
      </c>
      <c r="B611" s="7" t="s">
        <v>506</v>
      </c>
      <c r="C611" t="str">
        <f>_xlfn.TEXTBEFORE(_xlfn.TEXTAFTER(Tabla1[[#This Row],[ENLACE]],"/",1),"/")</f>
        <v>usa</v>
      </c>
      <c r="D611" s="8" t="str">
        <f ca="1">IF(VLOOKUP(Tabla1[[#This Row],[PAIS]],$G$2:$H$34,2)="x","SI","NO")</f>
        <v>SI</v>
      </c>
    </row>
    <row r="612" spans="1:4" x14ac:dyDescent="0.3">
      <c r="A612" s="11" t="str">
        <f>MID(Tabla1[[#This Row],[ENLACE]],FIND("~",SUBSTITUTE(Tabla1[[#This Row],[ENLACE]],"/","~",2))+1,LEN(Tabla1[[#This Row],[ENLACE]]))</f>
        <v>bohemians-fc</v>
      </c>
      <c r="B612" t="s">
        <v>595</v>
      </c>
      <c r="C612" s="11" t="str">
        <f>_xlfn.TEXTBEFORE(_xlfn.TEXTAFTER(Tabla1[[#This Row],[ENLACE]],"/",1),"/")</f>
        <v>ireland</v>
      </c>
      <c r="D612" s="12" t="str">
        <f ca="1">IF(VLOOKUP(Tabla1[[#This Row],[PAIS]],$G$2:$H$34,2)="x","SI","NO")</f>
        <v>SI</v>
      </c>
    </row>
    <row r="613" spans="1:4" x14ac:dyDescent="0.3">
      <c r="A613" s="11" t="str">
        <f>MID(Tabla1[[#This Row],[ENLACE]],FIND("~",SUBSTITUTE(Tabla1[[#This Row],[ENLACE]],"/","~",2))+1,LEN(Tabla1[[#This Row],[ENLACE]]))</f>
        <v>derry-city-fc</v>
      </c>
      <c r="B613" t="s">
        <v>596</v>
      </c>
      <c r="C613" s="11" t="str">
        <f>_xlfn.TEXTBEFORE(_xlfn.TEXTAFTER(Tabla1[[#This Row],[ENLACE]],"/",1),"/")</f>
        <v>ireland</v>
      </c>
      <c r="D613" s="12" t="str">
        <f ca="1">IF(VLOOKUP(Tabla1[[#This Row],[PAIS]],$G$2:$H$34,2)="x","SI","NO")</f>
        <v>SI</v>
      </c>
    </row>
    <row r="614" spans="1:4" x14ac:dyDescent="0.3">
      <c r="A614" s="11" t="str">
        <f>MID(Tabla1[[#This Row],[ENLACE]],FIND("~",SUBSTITUTE(Tabla1[[#This Row],[ENLACE]],"/","~",2))+1,LEN(Tabla1[[#This Row],[ENLACE]]))</f>
        <v>drogheda-united-fc</v>
      </c>
      <c r="B614" t="s">
        <v>597</v>
      </c>
      <c r="C614" s="11" t="str">
        <f>_xlfn.TEXTBEFORE(_xlfn.TEXTAFTER(Tabla1[[#This Row],[ENLACE]],"/",1),"/")</f>
        <v>ireland</v>
      </c>
      <c r="D614" s="12" t="str">
        <f ca="1">IF(VLOOKUP(Tabla1[[#This Row],[PAIS]],$G$2:$H$34,2)="x","SI","NO")</f>
        <v>SI</v>
      </c>
    </row>
    <row r="615" spans="1:4" x14ac:dyDescent="0.3">
      <c r="A615" s="11" t="str">
        <f>MID(Tabla1[[#This Row],[ENLACE]],FIND("~",SUBSTITUTE(Tabla1[[#This Row],[ENLACE]],"/","~",2))+1,LEN(Tabla1[[#This Row],[ENLACE]]))</f>
        <v>dundalk-fc</v>
      </c>
      <c r="B615" t="s">
        <v>598</v>
      </c>
      <c r="C615" s="11" t="str">
        <f>_xlfn.TEXTBEFORE(_xlfn.TEXTAFTER(Tabla1[[#This Row],[ENLACE]],"/",1),"/")</f>
        <v>ireland</v>
      </c>
      <c r="D615" s="12" t="str">
        <f ca="1">IF(VLOOKUP(Tabla1[[#This Row],[PAIS]],$G$2:$H$34,2)="x","SI","NO")</f>
        <v>SI</v>
      </c>
    </row>
    <row r="616" spans="1:4" x14ac:dyDescent="0.3">
      <c r="A616" s="11" t="str">
        <f>MID(Tabla1[[#This Row],[ENLACE]],FIND("~",SUBSTITUTE(Tabla1[[#This Row],[ENLACE]],"/","~",2))+1,LEN(Tabla1[[#This Row],[ENLACE]]))</f>
        <v>galway-united-fc</v>
      </c>
      <c r="B616" t="s">
        <v>599</v>
      </c>
      <c r="C616" s="11" t="str">
        <f>_xlfn.TEXTBEFORE(_xlfn.TEXTAFTER(Tabla1[[#This Row],[ENLACE]],"/",1),"/")</f>
        <v>ireland</v>
      </c>
      <c r="D616" s="12" t="str">
        <f ca="1">IF(VLOOKUP(Tabla1[[#This Row],[PAIS]],$G$2:$H$34,2)="x","SI","NO")</f>
        <v>SI</v>
      </c>
    </row>
    <row r="617" spans="1:4" x14ac:dyDescent="0.3">
      <c r="A617" s="11" t="str">
        <f>MID(Tabla1[[#This Row],[ENLACE]],FIND("~",SUBSTITUTE(Tabla1[[#This Row],[ENLACE]],"/","~",2))+1,LEN(Tabla1[[#This Row],[ENLACE]]))</f>
        <v>shamrock-rovers-fc</v>
      </c>
      <c r="B617" t="s">
        <v>600</v>
      </c>
      <c r="C617" s="11" t="str">
        <f>_xlfn.TEXTBEFORE(_xlfn.TEXTAFTER(Tabla1[[#This Row],[ENLACE]],"/",1),"/")</f>
        <v>ireland</v>
      </c>
      <c r="D617" s="12" t="str">
        <f ca="1">IF(VLOOKUP(Tabla1[[#This Row],[PAIS]],$G$2:$H$34,2)="x","SI","NO")</f>
        <v>SI</v>
      </c>
    </row>
    <row r="618" spans="1:4" x14ac:dyDescent="0.3">
      <c r="A618" s="11" t="str">
        <f>MID(Tabla1[[#This Row],[ENLACE]],FIND("~",SUBSTITUTE(Tabla1[[#This Row],[ENLACE]],"/","~",2))+1,LEN(Tabla1[[#This Row],[ENLACE]]))</f>
        <v>shelbourne-fc</v>
      </c>
      <c r="B618" t="s">
        <v>601</v>
      </c>
      <c r="C618" s="11" t="str">
        <f>_xlfn.TEXTBEFORE(_xlfn.TEXTAFTER(Tabla1[[#This Row],[ENLACE]],"/",1),"/")</f>
        <v>ireland</v>
      </c>
      <c r="D618" s="12" t="str">
        <f ca="1">IF(VLOOKUP(Tabla1[[#This Row],[PAIS]],$G$2:$H$34,2)="x","SI","NO")</f>
        <v>SI</v>
      </c>
    </row>
    <row r="619" spans="1:4" x14ac:dyDescent="0.3">
      <c r="A619" s="11" t="str">
        <f>MID(Tabla1[[#This Row],[ENLACE]],FIND("~",SUBSTITUTE(Tabla1[[#This Row],[ENLACE]],"/","~",2))+1,LEN(Tabla1[[#This Row],[ENLACE]]))</f>
        <v>sligo-rovers-fc</v>
      </c>
      <c r="B619" t="s">
        <v>602</v>
      </c>
      <c r="C619" s="11" t="str">
        <f>_xlfn.TEXTBEFORE(_xlfn.TEXTAFTER(Tabla1[[#This Row],[ENLACE]],"/",1),"/")</f>
        <v>ireland</v>
      </c>
      <c r="D619" s="12" t="str">
        <f ca="1">IF(VLOOKUP(Tabla1[[#This Row],[PAIS]],$G$2:$H$34,2)="x","SI","NO")</f>
        <v>SI</v>
      </c>
    </row>
    <row r="620" spans="1:4" x14ac:dyDescent="0.3">
      <c r="A620" s="11" t="str">
        <f>MID(Tabla1[[#This Row],[ENLACE]],FIND("~",SUBSTITUTE(Tabla1[[#This Row],[ENLACE]],"/","~",2))+1,LEN(Tabla1[[#This Row],[ENLACE]]))</f>
        <v>st-patricks-athletic-fc</v>
      </c>
      <c r="B620" t="s">
        <v>603</v>
      </c>
      <c r="C620" s="11" t="str">
        <f>_xlfn.TEXTBEFORE(_xlfn.TEXTAFTER(Tabla1[[#This Row],[ENLACE]],"/",1),"/")</f>
        <v>ireland</v>
      </c>
      <c r="D620" s="12" t="str">
        <f ca="1">IF(VLOOKUP(Tabla1[[#This Row],[PAIS]],$G$2:$H$34,2)="x","SI","NO")</f>
        <v>SI</v>
      </c>
    </row>
    <row r="621" spans="1:4" x14ac:dyDescent="0.3">
      <c r="A621" s="11" t="str">
        <f>MID(Tabla1[[#This Row],[ENLACE]],FIND("~",SUBSTITUTE(Tabla1[[#This Row],[ENLACE]],"/","~",2))+1,LEN(Tabla1[[#This Row],[ENLACE]]))</f>
        <v>waterford-fc</v>
      </c>
      <c r="B621" t="s">
        <v>604</v>
      </c>
      <c r="C621" s="11" t="str">
        <f>_xlfn.TEXTBEFORE(_xlfn.TEXTAFTER(Tabla1[[#This Row],[ENLACE]],"/",1),"/")</f>
        <v>ireland</v>
      </c>
      <c r="D621" s="12" t="str">
        <f ca="1">IF(VLOOKUP(Tabla1[[#This Row],[PAIS]],$G$2:$H$34,2)="x","SI","NO")</f>
        <v>SI</v>
      </c>
    </row>
    <row r="622" spans="1:4" x14ac:dyDescent="0.3">
      <c r="A622" s="11" t="str">
        <f>MID(Tabla1[[#This Row],[ENLACE]],FIND("~",SUBSTITUTE(Tabla1[[#This Row],[ENLACE]],"/","~",2))+1,LEN(Tabla1[[#This Row],[ENLACE]]))</f>
        <v>al-ahly-sc</v>
      </c>
      <c r="B622" t="s">
        <v>605</v>
      </c>
      <c r="C622" s="11" t="str">
        <f>_xlfn.TEXTBEFORE(_xlfn.TEXTAFTER(Tabla1[[#This Row],[ENLACE]],"/",1),"/")</f>
        <v>egypt</v>
      </c>
      <c r="D622" s="12" t="str">
        <f ca="1">IF(VLOOKUP(Tabla1[[#This Row],[PAIS]],$G$2:$H$34,2)="x","SI","NO")</f>
        <v>SI</v>
      </c>
    </row>
    <row r="623" spans="1:4" x14ac:dyDescent="0.3">
      <c r="A623" s="11" t="str">
        <f>MID(Tabla1[[#This Row],[ENLACE]],FIND("~",SUBSTITUTE(Tabla1[[#This Row],[ENLACE]],"/","~",2))+1,LEN(Tabla1[[#This Row],[ENLACE]]))</f>
        <v>al-ittihad-ac</v>
      </c>
      <c r="B623" t="s">
        <v>606</v>
      </c>
      <c r="C623" s="11" t="str">
        <f>_xlfn.TEXTBEFORE(_xlfn.TEXTAFTER(Tabla1[[#This Row],[ENLACE]],"/",1),"/")</f>
        <v>egypt</v>
      </c>
      <c r="D623" s="12" t="str">
        <f ca="1">IF(VLOOKUP(Tabla1[[#This Row],[PAIS]],$G$2:$H$34,2)="x","SI","NO")</f>
        <v>SI</v>
      </c>
    </row>
    <row r="624" spans="1:4" x14ac:dyDescent="0.3">
      <c r="A624" s="11" t="str">
        <f>MID(Tabla1[[#This Row],[ENLACE]],FIND("~",SUBSTITUTE(Tabla1[[#This Row],[ENLACE]],"/","~",2))+1,LEN(Tabla1[[#This Row],[ENLACE]]))</f>
        <v>al-masry-sc</v>
      </c>
      <c r="B624" t="s">
        <v>607</v>
      </c>
      <c r="C624" s="11" t="str">
        <f>_xlfn.TEXTBEFORE(_xlfn.TEXTAFTER(Tabla1[[#This Row],[ENLACE]],"/",1),"/")</f>
        <v>egypt</v>
      </c>
      <c r="D624" s="12" t="str">
        <f ca="1">IF(VLOOKUP(Tabla1[[#This Row],[PAIS]],$G$2:$H$34,2)="x","SI","NO")</f>
        <v>SI</v>
      </c>
    </row>
    <row r="625" spans="1:4" x14ac:dyDescent="0.3">
      <c r="A625" s="11" t="str">
        <f>MID(Tabla1[[#This Row],[ENLACE]],FIND("~",SUBSTITUTE(Tabla1[[#This Row],[ENLACE]],"/","~",2))+1,LEN(Tabla1[[#This Row],[ENLACE]]))</f>
        <v>arab-contractors-sc</v>
      </c>
      <c r="B625" t="s">
        <v>608</v>
      </c>
      <c r="C625" s="11" t="str">
        <f>_xlfn.TEXTBEFORE(_xlfn.TEXTAFTER(Tabla1[[#This Row],[ENLACE]],"/",1),"/")</f>
        <v>egypt</v>
      </c>
      <c r="D625" s="12" t="str">
        <f ca="1">IF(VLOOKUP(Tabla1[[#This Row],[PAIS]],$G$2:$H$34,2)="x","SI","NO")</f>
        <v>SI</v>
      </c>
    </row>
    <row r="626" spans="1:4" x14ac:dyDescent="0.3">
      <c r="A626" s="11" t="str">
        <f>MID(Tabla1[[#This Row],[ENLACE]],FIND("~",SUBSTITUTE(Tabla1[[#This Row],[ENLACE]],"/","~",2))+1,LEN(Tabla1[[#This Row],[ENLACE]]))</f>
        <v>ceramica-cleopatra-fc</v>
      </c>
      <c r="B626" t="s">
        <v>609</v>
      </c>
      <c r="C626" s="11" t="str">
        <f>_xlfn.TEXTBEFORE(_xlfn.TEXTAFTER(Tabla1[[#This Row],[ENLACE]],"/",1),"/")</f>
        <v>egypt</v>
      </c>
      <c r="D626" s="12" t="str">
        <f ca="1">IF(VLOOKUP(Tabla1[[#This Row],[PAIS]],$G$2:$H$34,2)="x","SI","NO")</f>
        <v>SI</v>
      </c>
    </row>
    <row r="627" spans="1:4" x14ac:dyDescent="0.3">
      <c r="A627" s="11" t="str">
        <f>MID(Tabla1[[#This Row],[ENLACE]],FIND("~",SUBSTITUTE(Tabla1[[#This Row],[ENLACE]],"/","~",2))+1,LEN(Tabla1[[#This Row],[ENLACE]]))</f>
        <v>talaea-el-gaish-sc</v>
      </c>
      <c r="B627" t="s">
        <v>610</v>
      </c>
      <c r="C627" s="11" t="str">
        <f>_xlfn.TEXTBEFORE(_xlfn.TEXTAFTER(Tabla1[[#This Row],[ENLACE]],"/",1),"/")</f>
        <v>egypt</v>
      </c>
      <c r="D627" s="12" t="str">
        <f ca="1">IF(VLOOKUP(Tabla1[[#This Row],[PAIS]],$G$2:$H$34,2)="x","SI","NO")</f>
        <v>SI</v>
      </c>
    </row>
    <row r="628" spans="1:4" x14ac:dyDescent="0.3">
      <c r="A628" s="11" t="str">
        <f>MID(Tabla1[[#This Row],[ENLACE]],FIND("~",SUBSTITUTE(Tabla1[[#This Row],[ENLACE]],"/","~",2))+1,LEN(Tabla1[[#This Row],[ENLACE]]))</f>
        <v>el-gouna-fc</v>
      </c>
      <c r="B628" t="s">
        <v>611</v>
      </c>
      <c r="C628" s="11" t="str">
        <f>_xlfn.TEXTBEFORE(_xlfn.TEXTAFTER(Tabla1[[#This Row],[ENLACE]],"/",1),"/")</f>
        <v>egypt</v>
      </c>
      <c r="D628" s="12" t="str">
        <f ca="1">IF(VLOOKUP(Tabla1[[#This Row],[PAIS]],$G$2:$H$34,2)="x","SI","NO")</f>
        <v>SI</v>
      </c>
    </row>
    <row r="629" spans="1:4" x14ac:dyDescent="0.3">
      <c r="A629" s="11" t="str">
        <f>MID(Tabla1[[#This Row],[ENLACE]],FIND("~",SUBSTITUTE(Tabla1[[#This Row],[ENLACE]],"/","~",2))+1,LEN(Tabla1[[#This Row],[ENLACE]]))</f>
        <v>enppi-sc</v>
      </c>
      <c r="B629" t="s">
        <v>612</v>
      </c>
      <c r="C629" s="11" t="str">
        <f>_xlfn.TEXTBEFORE(_xlfn.TEXTAFTER(Tabla1[[#This Row],[ENLACE]],"/",1),"/")</f>
        <v>egypt</v>
      </c>
      <c r="D629" s="12" t="str">
        <f ca="1">IF(VLOOKUP(Tabla1[[#This Row],[PAIS]],$G$2:$H$34,2)="x","SI","NO")</f>
        <v>SI</v>
      </c>
    </row>
    <row r="630" spans="1:4" x14ac:dyDescent="0.3">
      <c r="A630" s="11" t="str">
        <f>MID(Tabla1[[#This Row],[ENLACE]],FIND("~",SUBSTITUTE(Tabla1[[#This Row],[ENLACE]],"/","~",2))+1,LEN(Tabla1[[#This Row],[ENLACE]]))</f>
        <v>ghazi-el-mahalla-sc</v>
      </c>
      <c r="B630" t="s">
        <v>613</v>
      </c>
      <c r="C630" s="11" t="str">
        <f>_xlfn.TEXTBEFORE(_xlfn.TEXTAFTER(Tabla1[[#This Row],[ENLACE]],"/",1),"/")</f>
        <v>egypt</v>
      </c>
      <c r="D630" s="12" t="str">
        <f ca="1">IF(VLOOKUP(Tabla1[[#This Row],[PAIS]],$G$2:$H$34,2)="x","SI","NO")</f>
        <v>SI</v>
      </c>
    </row>
    <row r="631" spans="1:4" x14ac:dyDescent="0.3">
      <c r="A631" s="11" t="str">
        <f>MID(Tabla1[[#This Row],[ENLACE]],FIND("~",SUBSTITUTE(Tabla1[[#This Row],[ENLACE]],"/","~",2))+1,LEN(Tabla1[[#This Row],[ENLACE]]))</f>
        <v>haras-el-hodoud-sc</v>
      </c>
      <c r="B631" t="s">
        <v>614</v>
      </c>
      <c r="C631" s="11" t="str">
        <f>_xlfn.TEXTBEFORE(_xlfn.TEXTAFTER(Tabla1[[#This Row],[ENLACE]],"/",1),"/")</f>
        <v>egypt</v>
      </c>
      <c r="D631" s="12" t="str">
        <f ca="1">IF(VLOOKUP(Tabla1[[#This Row],[PAIS]],$G$2:$H$34,2)="x","SI","NO")</f>
        <v>SI</v>
      </c>
    </row>
    <row r="632" spans="1:4" x14ac:dyDescent="0.3">
      <c r="A632" s="11" t="str">
        <f>MID(Tabla1[[#This Row],[ENLACE]],FIND("~",SUBSTITUTE(Tabla1[[#This Row],[ENLACE]],"/","~",2))+1,LEN(Tabla1[[#This Row],[ENLACE]]))</f>
        <v>ismaily-sc</v>
      </c>
      <c r="B632" t="s">
        <v>615</v>
      </c>
      <c r="C632" s="11" t="str">
        <f>_xlfn.TEXTBEFORE(_xlfn.TEXTAFTER(Tabla1[[#This Row],[ENLACE]],"/",1),"/")</f>
        <v>egypt</v>
      </c>
      <c r="D632" s="12" t="str">
        <f ca="1">IF(VLOOKUP(Tabla1[[#This Row],[PAIS]],$G$2:$H$34,2)="x","SI","NO")</f>
        <v>SI</v>
      </c>
    </row>
    <row r="633" spans="1:4" x14ac:dyDescent="0.3">
      <c r="A633" s="11" t="str">
        <f>MID(Tabla1[[#This Row],[ENLACE]],FIND("~",SUBSTITUTE(Tabla1[[#This Row],[ENLACE]],"/","~",2))+1,LEN(Tabla1[[#This Row],[ENLACE]]))</f>
        <v>kahrabaa-ismailia-sc</v>
      </c>
      <c r="B633" t="s">
        <v>616</v>
      </c>
      <c r="C633" s="11" t="str">
        <f>_xlfn.TEXTBEFORE(_xlfn.TEXTAFTER(Tabla1[[#This Row],[ENLACE]],"/",1),"/")</f>
        <v>egypt</v>
      </c>
      <c r="D633" s="12" t="str">
        <f ca="1">IF(VLOOKUP(Tabla1[[#This Row],[PAIS]],$G$2:$H$34,2)="x","SI","NO")</f>
        <v>SI</v>
      </c>
    </row>
    <row r="634" spans="1:4" x14ac:dyDescent="0.3">
      <c r="A634" s="11" t="str">
        <f>MID(Tabla1[[#This Row],[ENLACE]],FIND("~",SUBSTITUTE(Tabla1[[#This Row],[ENLACE]],"/","~",2))+1,LEN(Tabla1[[#This Row],[ENLACE]]))</f>
        <v>modern-sport-fc</v>
      </c>
      <c r="B634" t="s">
        <v>617</v>
      </c>
      <c r="C634" s="11" t="str">
        <f>_xlfn.TEXTBEFORE(_xlfn.TEXTAFTER(Tabla1[[#This Row],[ENLACE]],"/",1),"/")</f>
        <v>egypt</v>
      </c>
      <c r="D634" s="12" t="str">
        <f ca="1">IF(VLOOKUP(Tabla1[[#This Row],[PAIS]],$G$2:$H$34,2)="x","SI","NO")</f>
        <v>SI</v>
      </c>
    </row>
    <row r="635" spans="1:4" x14ac:dyDescent="0.3">
      <c r="A635" s="11" t="str">
        <f>MID(Tabla1[[#This Row],[ENLACE]],FIND("~",SUBSTITUTE(Tabla1[[#This Row],[ENLACE]],"/","~",2))+1,LEN(Tabla1[[#This Row],[ENLACE]]))</f>
        <v>national-bank-of-egypt-sc</v>
      </c>
      <c r="B635" t="s">
        <v>618</v>
      </c>
      <c r="C635" s="11" t="str">
        <f>_xlfn.TEXTBEFORE(_xlfn.TEXTAFTER(Tabla1[[#This Row],[ENLACE]],"/",1),"/")</f>
        <v>egypt</v>
      </c>
      <c r="D635" s="12" t="str">
        <f ca="1">IF(VLOOKUP(Tabla1[[#This Row],[PAIS]],$G$2:$H$34,2)="x","SI","NO")</f>
        <v>SI</v>
      </c>
    </row>
    <row r="636" spans="1:4" x14ac:dyDescent="0.3">
      <c r="A636" s="11" t="str">
        <f>MID(Tabla1[[#This Row],[ENLACE]],FIND("~",SUBSTITUTE(Tabla1[[#This Row],[ENLACE]],"/","~",2))+1,LEN(Tabla1[[#This Row],[ENLACE]]))</f>
        <v>petrojet-sc</v>
      </c>
      <c r="B636" t="s">
        <v>619</v>
      </c>
      <c r="C636" s="11" t="str">
        <f>_xlfn.TEXTBEFORE(_xlfn.TEXTAFTER(Tabla1[[#This Row],[ENLACE]],"/",1),"/")</f>
        <v>egypt</v>
      </c>
      <c r="D636" s="12" t="str">
        <f ca="1">IF(VLOOKUP(Tabla1[[#This Row],[PAIS]],$G$2:$H$34,2)="x","SI","NO")</f>
        <v>SI</v>
      </c>
    </row>
    <row r="637" spans="1:4" x14ac:dyDescent="0.3">
      <c r="A637" s="11" t="str">
        <f>MID(Tabla1[[#This Row],[ENLACE]],FIND("~",SUBSTITUTE(Tabla1[[#This Row],[ENLACE]],"/","~",2))+1,LEN(Tabla1[[#This Row],[ENLACE]]))</f>
        <v>pharco-fc</v>
      </c>
      <c r="B637" t="s">
        <v>620</v>
      </c>
      <c r="C637" s="11" t="str">
        <f>_xlfn.TEXTBEFORE(_xlfn.TEXTAFTER(Tabla1[[#This Row],[ENLACE]],"/",1),"/")</f>
        <v>egypt</v>
      </c>
      <c r="D637" s="12" t="str">
        <f ca="1">IF(VLOOKUP(Tabla1[[#This Row],[PAIS]],$G$2:$H$34,2)="x","SI","NO")</f>
        <v>SI</v>
      </c>
    </row>
    <row r="638" spans="1:4" x14ac:dyDescent="0.3">
      <c r="A638" s="11" t="str">
        <f>MID(Tabla1[[#This Row],[ENLACE]],FIND("~",SUBSTITUTE(Tabla1[[#This Row],[ENLACE]],"/","~",2))+1,LEN(Tabla1[[#This Row],[ENLACE]]))</f>
        <v>pyramids-fc</v>
      </c>
      <c r="B638" t="s">
        <v>621</v>
      </c>
      <c r="C638" s="11" t="str">
        <f>_xlfn.TEXTBEFORE(_xlfn.TEXTAFTER(Tabla1[[#This Row],[ENLACE]],"/",1),"/")</f>
        <v>egypt</v>
      </c>
      <c r="D638" s="12" t="str">
        <f ca="1">IF(VLOOKUP(Tabla1[[#This Row],[PAIS]],$G$2:$H$34,2)="x","SI","NO")</f>
        <v>SI</v>
      </c>
    </row>
    <row r="639" spans="1:4" x14ac:dyDescent="0.3">
      <c r="A639" s="11" t="str">
        <f>MID(Tabla1[[#This Row],[ENLACE]],FIND("~",SUBSTITUTE(Tabla1[[#This Row],[ENLACE]],"/","~",2))+1,LEN(Tabla1[[#This Row],[ENLACE]]))</f>
        <v>smouha-sc</v>
      </c>
      <c r="B639" t="s">
        <v>622</v>
      </c>
      <c r="C639" s="11" t="str">
        <f>_xlfn.TEXTBEFORE(_xlfn.TEXTAFTER(Tabla1[[#This Row],[ENLACE]],"/",1),"/")</f>
        <v>egypt</v>
      </c>
      <c r="D639" s="12" t="str">
        <f ca="1">IF(VLOOKUP(Tabla1[[#This Row],[PAIS]],$G$2:$H$34,2)="x","SI","NO")</f>
        <v>SI</v>
      </c>
    </row>
    <row r="640" spans="1:4" x14ac:dyDescent="0.3">
      <c r="A640" s="11" t="str">
        <f>MID(Tabla1[[#This Row],[ENLACE]],FIND("~",SUBSTITUTE(Tabla1[[#This Row],[ENLACE]],"/","~",2))+1,LEN(Tabla1[[#This Row],[ENLACE]]))</f>
        <v>wadi-degla-sc</v>
      </c>
      <c r="B640" t="s">
        <v>623</v>
      </c>
      <c r="C640" s="11" t="str">
        <f>_xlfn.TEXTBEFORE(_xlfn.TEXTAFTER(Tabla1[[#This Row],[ENLACE]],"/",1),"/")</f>
        <v>egypt</v>
      </c>
      <c r="D640" s="12" t="str">
        <f ca="1">IF(VLOOKUP(Tabla1[[#This Row],[PAIS]],$G$2:$H$34,2)="x","SI","NO")</f>
        <v>SI</v>
      </c>
    </row>
    <row r="641" spans="1:4" x14ac:dyDescent="0.3">
      <c r="A641" s="11" t="str">
        <f>MID(Tabla1[[#This Row],[ENLACE]],FIND("~",SUBSTITUTE(Tabla1[[#This Row],[ENLACE]],"/","~",2))+1,LEN(Tabla1[[#This Row],[ENLACE]]))</f>
        <v>zamalek-sc</v>
      </c>
      <c r="B641" t="s">
        <v>624</v>
      </c>
      <c r="C641" s="11" t="str">
        <f>_xlfn.TEXTBEFORE(_xlfn.TEXTAFTER(Tabla1[[#This Row],[ENLACE]],"/",1),"/")</f>
        <v>egypt</v>
      </c>
      <c r="D641" s="12" t="str">
        <f ca="1">IF(VLOOKUP(Tabla1[[#This Row],[PAIS]],$G$2:$H$34,2)="x","SI","NO")</f>
        <v>SI</v>
      </c>
    </row>
    <row r="642" spans="1:4" x14ac:dyDescent="0.3">
      <c r="A642" s="11" t="str">
        <f>MID(Tabla1[[#This Row],[ENLACE]],FIND("~",SUBSTITUTE(Tabla1[[#This Row],[ENLACE]],"/","~",2))+1,LEN(Tabla1[[#This Row],[ENLACE]]))</f>
        <v>zed-fc</v>
      </c>
      <c r="B642" t="s">
        <v>625</v>
      </c>
      <c r="C642" s="11" t="str">
        <f>_xlfn.TEXTBEFORE(_xlfn.TEXTAFTER(Tabla1[[#This Row],[ENLACE]],"/",1),"/")</f>
        <v>egypt</v>
      </c>
      <c r="D642" s="12" t="str">
        <f ca="1">IF(VLOOKUP(Tabla1[[#This Row],[PAIS]],$G$2:$H$34,2)="x","SI","NO")</f>
        <v>SI</v>
      </c>
    </row>
  </sheetData>
  <conditionalFormatting sqref="J2:J35">
    <cfRule type="containsText" dxfId="0" priority="1" operator="containsText" text="act">
      <formula>NOT(ISERROR(SEARCH("act",J2)))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2026-04-09T20:00:05Z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