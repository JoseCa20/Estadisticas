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DB4BAD73-4AFD-43D7-8990-79661ED218B6}" xr6:coauthVersionLast="47" xr6:coauthVersionMax="47" xr10:uidLastSave="{00000000-0000-0000-0000-000000000000}"/>
  <bookViews>
    <workbookView xWindow="0" yWindow="0" windowWidth="23040" windowHeight="12240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" l="1"/>
  <c r="I36" i="1"/>
  <c r="I35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C649" i="1"/>
  <c r="C650" i="1"/>
  <c r="C651" i="1"/>
  <c r="C652" i="1"/>
  <c r="C653" i="1"/>
  <c r="D653" i="1" s="1"/>
  <c r="C654" i="1"/>
  <c r="D654" i="1" s="1"/>
  <c r="C655" i="1"/>
  <c r="D655" i="1" s="1"/>
  <c r="C656" i="1"/>
  <c r="D656" i="1" s="1"/>
  <c r="C657" i="1"/>
  <c r="C658" i="1"/>
  <c r="C659" i="1"/>
  <c r="C660" i="1"/>
  <c r="C661" i="1"/>
  <c r="C662" i="1"/>
  <c r="C663" i="1"/>
  <c r="C664" i="1"/>
  <c r="D649" i="1"/>
  <c r="D650" i="1"/>
  <c r="D651" i="1"/>
  <c r="D652" i="1"/>
  <c r="D657" i="1"/>
  <c r="D658" i="1"/>
  <c r="D659" i="1"/>
  <c r="D660" i="1"/>
  <c r="D661" i="1"/>
  <c r="D662" i="1"/>
  <c r="D663" i="1"/>
  <c r="D664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C637" i="1"/>
  <c r="C638" i="1"/>
  <c r="C639" i="1"/>
  <c r="C640" i="1"/>
  <c r="C641" i="1"/>
  <c r="D641" i="1" s="1"/>
  <c r="C642" i="1"/>
  <c r="C643" i="1"/>
  <c r="D643" i="1" s="1"/>
  <c r="C644" i="1"/>
  <c r="C645" i="1"/>
  <c r="C646" i="1"/>
  <c r="C647" i="1"/>
  <c r="D647" i="1" s="1"/>
  <c r="C648" i="1"/>
  <c r="D648" i="1" s="1"/>
  <c r="D637" i="1"/>
  <c r="D638" i="1"/>
  <c r="D639" i="1"/>
  <c r="D640" i="1"/>
  <c r="D642" i="1"/>
  <c r="D645" i="1"/>
  <c r="D646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C623" i="1"/>
  <c r="C624" i="1"/>
  <c r="D624" i="1" s="1"/>
  <c r="C625" i="1"/>
  <c r="C626" i="1"/>
  <c r="C627" i="1"/>
  <c r="D627" i="1" s="1"/>
  <c r="C628" i="1"/>
  <c r="D628" i="1" s="1"/>
  <c r="C629" i="1"/>
  <c r="C630" i="1"/>
  <c r="D630" i="1" s="1"/>
  <c r="C631" i="1"/>
  <c r="D631" i="1" s="1"/>
  <c r="C632" i="1"/>
  <c r="C633" i="1"/>
  <c r="C634" i="1"/>
  <c r="C635" i="1"/>
  <c r="D635" i="1" s="1"/>
  <c r="C636" i="1"/>
  <c r="D636" i="1" s="1"/>
  <c r="D623" i="1"/>
  <c r="D625" i="1"/>
  <c r="D626" i="1"/>
  <c r="D633" i="1"/>
  <c r="D634" i="1"/>
  <c r="I2" i="1"/>
  <c r="I34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D644" i="1" l="1"/>
  <c r="D629" i="1"/>
  <c r="D632" i="1"/>
  <c r="H2" i="1" a="1"/>
  <c r="E657" i="1" l="1"/>
  <c r="E660" i="1"/>
  <c r="E658" i="1"/>
  <c r="E659" i="1"/>
  <c r="E661" i="1"/>
  <c r="E652" i="1"/>
  <c r="E663" i="1"/>
  <c r="E662" i="1"/>
  <c r="E654" i="1"/>
  <c r="E653" i="1"/>
  <c r="E655" i="1"/>
  <c r="E656" i="1"/>
  <c r="E649" i="1"/>
  <c r="E650" i="1"/>
  <c r="E664" i="1"/>
  <c r="E651" i="1"/>
  <c r="E637" i="1"/>
  <c r="E638" i="1"/>
  <c r="E639" i="1"/>
  <c r="E640" i="1"/>
  <c r="E641" i="1"/>
  <c r="E642" i="1"/>
  <c r="E645" i="1"/>
  <c r="E646" i="1"/>
  <c r="E648" i="1"/>
  <c r="E644" i="1"/>
  <c r="E647" i="1"/>
  <c r="E643" i="1"/>
  <c r="E624" i="1"/>
  <c r="E633" i="1"/>
  <c r="E623" i="1"/>
  <c r="E636" i="1"/>
  <c r="E634" i="1"/>
  <c r="E635" i="1"/>
  <c r="E625" i="1"/>
  <c r="E626" i="1"/>
  <c r="E629" i="1"/>
  <c r="E630" i="1"/>
  <c r="E628" i="1"/>
  <c r="E631" i="1"/>
  <c r="E627" i="1"/>
  <c r="E632" i="1"/>
  <c r="E608" i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H2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<sst xmlns="http://schemas.openxmlformats.org/spreadsheetml/2006/main" count="749" uniqueCount="671">
  <si>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</si>
  <si>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</si>
  <si>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</si>
  <si>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</si>
  <si>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</si>
  <si>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</si>
  <si>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</si>
  <si>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</si>
  <si>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</si>
  <si>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</si>
  <si>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</si>
  <si>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</si>
  <si>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</si>
  <si>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</si>
  <si>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</si>
  <si>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</si>
  <si>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</si>
  <si>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</si>
  <si>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</si>
  <si>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</si>
  <si>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</si>
  <si>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</si>
  <si>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</si>
  <si>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</si>
  <si>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</si>
  <si>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</si>
  <si>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</si>
  <si>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</si>
  <si>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</si>
  <si>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</si>
  <si>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</si>
  <si>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</si>
  <si>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</si>
  <si>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</si>
  <si>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</si>
  <si>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</si>
  <si>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</si>
  <si>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</si>
  <si>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</si>
  <si>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</si>
  <si>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</si>
  <si>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</si>
  <si>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</si>
  <si>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</si>
  <si>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</si>
  <si>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</si>
  <si>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</si>
  <si>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</si>
  <si>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</si>
  <si>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</si>
  <si>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</si>
  <si>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</si>
  <si>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</si>
  <si>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</si>
  <si>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</si>
  <si>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</si>
  <si>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</si>
  <si>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</si>
  <si>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</si>
  <si>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</si>
  <si>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</si>
  <si>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</si>
  <si>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</si>
  <si>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</si>
  <si>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</si>
  <si>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</si>
  <si>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</si>
  <si>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</si>
  <si>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</si>
  <si>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</si>
  <si>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</si>
  <si>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</si>
  <si>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</si>
  <si>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</si>
  <si>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</si>
  <si>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</si>
  <si>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</si>
  <si>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</si>
  <si>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</si>
  <si>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</si>
  <si>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</si>
  <si>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</si>
  <si>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</si>
  <si>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</si>
  <si>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</si>
  <si>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</si>
  <si>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</si>
  <si>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</si>
  <si>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</si>
  <si>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</si>
  <si>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</si>
  <si>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</si>
  <si>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</si>
  <si>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</si>
  <si>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</si>
  <si>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</si>
  <si>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</si>
  <si>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</si>
  <si>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</si>
  <si>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</si>
  <si>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</si>
  <si>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</si>
  <si>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</si>
  <si>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</si>
  <si>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</si>
  <si>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</si>
  <si>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</si>
  <si>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</si>
  <si>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</si>
  <si>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</si>
  <si>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</si>
  <si>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</si>
  <si>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</si>
  <si>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</si>
  <si>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</si>
  <si>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</si>
  <si>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</si>
  <si>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</si>
  <si>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</si>
  <si>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</si>
  <si>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</si>
  <si>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</si>
  <si>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</si>
  <si>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</si>
  <si>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</si>
  <si>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</si>
  <si>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</si>
  <si>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</si>
  <si>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</si>
  <si>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</si>
  <si>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</si>
  <si>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</si>
  <si>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</si>
  <si>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</si>
  <si>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</si>
  <si>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</si>
  <si>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</si>
  <si>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</si>
  <si>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</si>
  <si>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</si>
  <si>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</si>
  <si>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</si>
  <si>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</si>
  <si>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</si>
  <si>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</si>
  <si>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</si>
  <si>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</si>
  <si>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</si>
  <si>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</si>
  <si>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</si>
  <si>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</si>
  <si>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</si>
  <si>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</si>
  <si>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</si>
  <si>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</si>
  <si>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</si>
  <si>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</si>
  <si>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</si>
  <si>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</si>
  <si>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</si>
  <si>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</si>
  <si>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</si>
  <si>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</si>
  <si>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</si>
  <si>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</si>
  <si>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</si>
  <si>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</si>
  <si>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</si>
  <si>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</si>
  <si>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</si>
  <si>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</si>
  <si>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</si>
  <si>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</si>
  <si>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</si>
  <si>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</si>
  <si>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</si>
  <si>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</si>
  <si>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</si>
  <si>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</si>
  <si>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</si>
  <si>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</si>
  <si>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</si>
  <si>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</si>
  <si>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</si>
  <si>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</si>
  <si>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</si>
  <si>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</si>
  <si>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</si>
  <si>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</si>
  <si>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</si>
  <si>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</si>
  <si>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</si>
  <si>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</si>
  <si>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</si>
  <si>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</si>
  <si>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</si>
  <si>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</si>
  <si>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</si>
  <si>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</si>
  <si>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</si>
  <si>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</si>
  <si>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</si>
  <si>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</si>
  <si>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</si>
  <si>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</si>
  <si>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</si>
  <si>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</si>
  <si>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</si>
  <si>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</si>
  <si>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</si>
  <si>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</si>
  <si>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</si>
  <si>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</si>
  <si>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</si>
  <si>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</si>
  <si>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</si>
  <si>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</si>
  <si>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</si>
  <si>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</si>
  <si>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</si>
  <si>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</si>
  <si>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</si>
  <si>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</si>
  <si>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</si>
  <si>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</si>
  <si>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</si>
  <si>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</si>
  <si>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</si>
  <si>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</si>
  <si>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</si>
  <si>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</si>
  <si>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</si>
  <si>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</si>
  <si>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</si>
  <si>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</si>
  <si>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</si>
  <si>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</si>
  <si>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</si>
  <si>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</si>
  <si>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</si>
  <si>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</si>
  <si>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</si>
  <si>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</si>
  <si>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</si>
  <si>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</si>
  <si>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</si>
  <si>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</si>
  <si>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</si>
  <si>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</si>
  <si>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</si>
  <si>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</si>
  <si>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</si>
  <si>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</si>
  <si>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</si>
  <si>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</si>
  <si>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</si>
  <si>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</si>
  <si>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</si>
  <si>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</si>
  <si>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</si>
  <si>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</si>
  <si>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</si>
  <si>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</si>
  <si>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</si>
  <si>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</si>
  <si>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</si>
  <si>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</si>
  <si>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</si>
  <si>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</si>
  <si>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</si>
  <si>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</si>
  <si>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</si>
  <si>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</si>
  <si>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</si>
  <si>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</si>
  <si>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</si>
  <si>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</si>
  <si>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</si>
  <si>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</si>
  <si>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</si>
  <si>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</si>
  <si>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</si>
  <si>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</si>
  <si>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</si>
  <si>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</si>
  <si>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</si>
  <si>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</si>
  <si>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</si>
  <si>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</si>
  <si>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</si>
  <si>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</si>
  <si>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</si>
  <si>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</si>
  <si>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</si>
  <si>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</si>
  <si>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</si>
  <si>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</si>
  <si>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</si>
  <si>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</si>
  <si>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</si>
  <si>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</si>
  <si>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</si>
  <si>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</si>
  <si>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</si>
  <si>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</si>
  <si>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</si>
  <si>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</si>
  <si>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</si>
  <si>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</si>
  <si>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</si>
  <si>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</si>
  <si>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</si>
  <si>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</si>
  <si>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</si>
  <si>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</si>
  <si>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</si>
  <si>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</si>
  <si>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</si>
  <si>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</si>
  <si>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</si>
  <si>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</si>
  <si>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</si>
  <si>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</si>
  <si>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</si>
  <si>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</si>
  <si>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</si>
  <si>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</si>
  <si>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</si>
  <si>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</si>
  <si>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</si>
  <si>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</si>
  <si>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</si>
  <si>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</si>
  <si>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</si>
  <si>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</si>
  <si>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</si>
  <si>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</si>
  <si>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</si>
  <si>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</si>
  <si>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</si>
  <si>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</si>
  <si>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</si>
  <si>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</si>
  <si>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</si>
  <si>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</si>
  <si>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</si>
  <si>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</si>
  <si>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</si>
  <si>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</si>
  <si>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</si>
  <si>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</si>
  <si>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</si>
  <si>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</si>
  <si>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</si>
  <si>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</si>
  <si>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</si>
  <si>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</si>
  <si>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</si>
  <si>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</si>
  <si>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</si>
  <si>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</si>
  <si>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</si>
  <si>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</si>
  <si>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</si>
  <si>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</si>
  <si>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</si>
  <si>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</si>
  <si>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</si>
  <si>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</si>
  <si>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</si>
  <si>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</si>
  <si>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</si>
  <si>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</si>
  <si>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</si>
  <si>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</si>
  <si>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</si>
  <si>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</si>
  <si>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</si>
  <si>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</si>
  <si>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</si>
  <si>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</si>
  <si>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</si>
  <si>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</si>
  <si>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</si>
  <si>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</si>
  <si>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</si>
  <si>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</si>
  <si>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</si>
  <si>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</si>
  <si>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</si>
  <si>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</si>
  <si>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</si>
  <si>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</si>
  <si>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</si>
  <si>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</si>
  <si>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</si>
  <si>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</si>
  <si>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</si>
  <si>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</si>
  <si>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</si>
  <si>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</si>
  <si>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</si>
  <si>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</si>
  <si>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</si>
  <si>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</si>
  <si>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</si>
  <si>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</si>
  <si>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</si>
  <si>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</si>
  <si>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</si>
  <si>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</si>
  <si>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</si>
  <si>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</si>
  <si>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</si>
  <si>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</si>
  <si>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</si>
  <si>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</si>
  <si>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</si>
  <si>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</si>
  <si>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</si>
  <si>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</si>
  <si>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</si>
  <si>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</si>
  <si>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</si>
  <si>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</si>
  <si>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</si>
  <si>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</si>
  <si>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</si>
  <si>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</si>
  <si>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</si>
  <si>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</si>
  <si>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</si>
  <si>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</si>
  <si>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</si>
  <si>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</si>
  <si>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</si>
  <si>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</si>
  <si>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</si>
  <si>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</si>
  <si>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</si>
  <si>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</si>
  <si>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</si>
  <si>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</si>
  <si>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</si>
  <si>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</si>
  <si>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</si>
  <si>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</si>
  <si>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</si>
  <si>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</si>
  <si>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</si>
  <si>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</si>
  <si>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</si>
  <si>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</si>
  <si>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</si>
  <si>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</si>
  <si>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</si>
  <si>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</si>
  <si>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</si>
  <si>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</si>
  <si>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</si>
  <si>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</si>
  <si>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</si>
  <si>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</si>
  <si>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</si>
  <si>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</si>
  <si>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</si>
  <si>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</si>
  <si>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</si>
  <si>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</si>
  <si>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</si>
  <si>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</si>
  <si>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</si>
  <si>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</si>
  <si>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</si>
  <si>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</si>
  <si>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</si>
  <si>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</si>
  <si>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</si>
  <si>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</si>
  <si>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</si>
  <si>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</si>
  <si>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</si>
  <si>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</si>
  <si>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</si>
  <si>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</si>
  <si>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</si>
  <si>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</si>
  <si>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</si>
  <si>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</si>
  <si>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</si>
  <si>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</si>
  <si>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</si>
  <si>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</si>
  <si>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</si>
  <si>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</si>
  <si>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</si>
  <si>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</si>
  <si>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</si>
  <si>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</si>
  <si>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</si>
  <si>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</si>
  <si>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</si>
  <si>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</si>
  <si>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</si>
  <si>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</si>
  <si>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</si>
  <si>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</si>
  <si>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</si>
  <si>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</si>
  <si>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</si>
  <si>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</si>
  <si>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</si>
  <si>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</si>
  <si>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</si>
  <si>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</si>
  <si>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</si>
  <si>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</si>
  <si>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</si>
  <si>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</si>
  <si>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</si>
  <si>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</si>
  <si>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</si>
  <si>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</si>
  <si>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</si>
  <si>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</si>
  <si>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</si>
  <si>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</si>
  <si>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</si>
  <si>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</si>
  <si>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</si>
  <si>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</si>
  <si>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</si>
  <si>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</si>
  <si>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</si>
  <si>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</si>
  <si>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</si>
  <si>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</si>
  <si>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</si>
  <si>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</si>
  <si>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</si>
  <si>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</si>
  <si>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</si>
  <si>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</si>
  <si>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</si>
  <si>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</si>
  <si>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</si>
  <si>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</si>
  <si>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</si>
  <si>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</si>
  <si>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</si>
  <si>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</si>
  <si>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</si>
  <si>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</si>
  <si>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</si>
  <si>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</si>
  <si>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</si>
  <si>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</si>
  <si>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</si>
  <si>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</si>
  <si>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</si>
  <si>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</si>
  <si>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</si>
  <si>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</si>
  <si>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</si>
  <si>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</si>
  <si>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</si>
  <si>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</si>
  <si>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</si>
  <si>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</si>
  <si>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</si>
  <si>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</si>
  <si>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</si>
  <si>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</si>
  <si>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</si>
  <si>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</si>
  <si>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</si>
  <si>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</si>
  <si>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</si>
  <si>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</si>
  <si>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</si>
  <si>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</si>
  <si>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</si>
  <si>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</si>
  <si>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</si>
  <si>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</si>
  <si>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</si>
  <si>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</si>
  <si>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</si>
  <si>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</si>
  <si>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</si>
  <si>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</si>
  <si>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</si>
  <si>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</si>
  <si>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</si>
  <si>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</si>
  <si>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</si>
  <si>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</si>
  <si>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</si>
  <si>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</si>
  <si>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</si>
  <si>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</si>
  <si>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</si>
  <si>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</si>
  <si>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</si>
  <si>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</si>
  <si>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</si>
  <si>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</si>
  <si>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</si>
  <si>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</si>
  <si>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</si>
  <si>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</si>
  <si>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</si>
  <si>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</si>
  <si>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</si>
  <si>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</si>
  <si>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</si>
  <si>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</si>
  <si>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</si>
  <si>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</si>
  <si>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</si>
  <si>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</si>
  <si>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</si>
  <si>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</si>
  <si>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</si>
  <si>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</si>
  <si>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</si>
  <si>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</si>
  <si>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</si>
  <si>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</si>
  <si>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</si>
  <si>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</si>
  <si>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</si>
  <si>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</si>
  <si>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</si>
  <si>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</si>
  <si>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europe/cyprus/karmiotissa-fc</t>
  </si>
  <si>
    <t>europe/cyprus/krasava-eny-ypsonas-fc</t>
  </si>
  <si>
    <t>europe/cyprus/nea-salamis-famagusta-fc</t>
  </si>
  <si>
    <t>europe/cyprus/olympiakos-nicosia</t>
  </si>
  <si>
    <t>europe/cyprus/ac-omonia</t>
  </si>
  <si>
    <t>europe/cyprus/pac-omonia-29m</t>
  </si>
  <si>
    <t>europe/cyprus/omonia-aradippou</t>
  </si>
  <si>
    <t>europe/cyprus/pafos-fc</t>
  </si>
  <si>
    <t>europe/hungary/debrecen</t>
  </si>
  <si>
    <t>europe/hungary/ferencvaros</t>
  </si>
  <si>
    <t>europe/hungary/gyori-eto-fc</t>
  </si>
  <si>
    <t>europe/hungary/budapest-honved-fc</t>
  </si>
  <si>
    <t>europe/hungary/kisvarda-fc</t>
  </si>
  <si>
    <t>europe/hungary/mtk-budapest-fc</t>
  </si>
  <si>
    <t>europe/hungary/nyiregyhaza-spartacus-fc</t>
  </si>
  <si>
    <t>europe/hungary/paksi-fc</t>
  </si>
  <si>
    <t>europe/hungary/puskas-akademia-fc</t>
  </si>
  <si>
    <t>europe/hungary/ujpest-fc</t>
  </si>
  <si>
    <t>europe/hungary/vasas-sc</t>
  </si>
  <si>
    <t>europe/hungary/zalaegerszeg-te</t>
  </si>
  <si>
    <t>n-s-america/uruguay/albion-fc</t>
  </si>
  <si>
    <t>n-s-america/uruguay/boston-river</t>
  </si>
  <si>
    <t>n-s-america/uruguay/central-espanol</t>
  </si>
  <si>
    <t>n-s-america/uruguay/club-atletico-cerro</t>
  </si>
  <si>
    <t>n-s-america/uruguay/cerro-largo-fc</t>
  </si>
  <si>
    <t>n-s-america/uruguay/danubio-fc</t>
  </si>
  <si>
    <t>n-s-america/uruguay/defensor-sporting</t>
  </si>
  <si>
    <t>n-s-america/uruguay/juventud-de-las-piedras</t>
  </si>
  <si>
    <t>n-s-america/uruguay/liverpool-fc-montevideo</t>
  </si>
  <si>
    <t>n-s-america/uruguay/deportivo-maldonado</t>
  </si>
  <si>
    <t>n-s-america/uruguay/montevideo-city-torque</t>
  </si>
  <si>
    <t>n-s-america/uruguay/club-nacional-de-football</t>
  </si>
  <si>
    <t>n-s-america/uruguay/penarol</t>
  </si>
  <si>
    <t>n-s-america/uruguay/club-atletico-progreso</t>
  </si>
  <si>
    <t>n-s-america/uruguay/racing-club-de-montevideo</t>
  </si>
  <si>
    <t>n-s-america/uruguay/montevideo-wanderers-fc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</si>
</sst>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64" totalsRowShown="0" headerRowDxfId="4">
  <autoFilter ref="A1:E664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5" xr3:uid="{F2E44DAA-70E6-4294-A083-84669D9B9C01}" name="DIVISION" dataDxfId="1">
      <calculatedColumnFormula>Tabla1[[#This Row],[PAIS]]</calculatedColumnFormula>
    </tableColumn>
    <tableColumn id="4" xr3:uid="{864CABB9-1E94-4601-B818-3F8256A83250}" name="ANALIZAR" dataDxfId="0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64"/>
  <sheetViews>
    <sheetView tabSelected="1" topLeftCell="A23" workbookViewId="0">
      <selection activeCell="K38" sqref="K38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7">_xlfn.UNIQUE(Tabla1[PAIS])</f>
        <v>argentina</v>
      </c>
      <c r="I2" s="9" t="str">
        <f t="shared" ref="I2:I29" ca="1" si="0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ref="I30:I37" ca="1" si="1">IF(J30&gt;TODAY(),"","X")</f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1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1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1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1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 t="str">
        <v>cyprus</v>
      </c>
      <c r="I35" s="9" t="str">
        <f t="shared" ca="1" si="1"/>
        <v>X</v>
      </c>
      <c r="J35" s="10">
        <v>46284</v>
      </c>
      <c r="K35" s="9" t="s">
        <v>525</v>
      </c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  <c r="H36" s="9" t="str">
        <v>hungary</v>
      </c>
      <c r="I36" s="9" t="str">
        <f t="shared" ca="1" si="1"/>
        <v>X</v>
      </c>
      <c r="J36" s="10">
        <v>46284</v>
      </c>
      <c r="K36" s="9" t="s">
        <v>525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  <c r="H37" s="9" t="str">
        <v>uruguay</v>
      </c>
      <c r="I37" s="9" t="str">
        <f t="shared" ca="1" si="1"/>
        <v>X</v>
      </c>
      <c r="J37" s="10">
        <v>46284</v>
      </c>
      <c r="K37" s="9" t="s">
        <v>525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529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530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531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581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533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534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526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527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528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582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583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584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585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586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486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487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488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489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490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537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491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492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538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493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494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495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496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497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498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499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578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578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607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608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514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515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516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517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518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519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575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521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522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576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523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le-mans-fc</v>
      </c>
      <c r="B256" s="2" t="s">
        <v>619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rc-lens</v>
      </c>
      <c r="B257" s="5" t="s">
        <v>231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lille-osc</v>
      </c>
      <c r="B258" s="2" t="s">
        <v>232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fc-lorient</v>
      </c>
      <c r="B259" s="5" t="s">
        <v>469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olympique-lyonnais</v>
      </c>
      <c r="B260" s="2" t="s">
        <v>233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olympique-de-marseille</v>
      </c>
      <c r="B261" s="5" t="s">
        <v>234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ogc-nice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paris-fc</v>
      </c>
      <c r="B264" s="2" t="s">
        <v>470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paris-saint-germain-fc</v>
      </c>
      <c r="B265" s="5" t="s">
        <v>237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stade-rennais-fc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rc-strasbourg-alsace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toulouse-fc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troyes-ac</v>
      </c>
      <c r="B269" s="5" t="s">
        <v>620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sv-elversberg</v>
      </c>
      <c r="B274" s="2" t="s">
        <v>621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fc-koln</v>
      </c>
      <c r="B275" s="5" t="s">
        <v>466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eintracht-frankfurt</v>
      </c>
      <c r="B276" s="2" t="s">
        <v>65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sc-freiburg</v>
      </c>
      <c r="B277" s="5" t="s">
        <v>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hamburger-sv</v>
      </c>
      <c r="B278" s="2" t="s">
        <v>467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sc-paderborn</v>
      </c>
      <c r="B283" s="5" t="s">
        <v>622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rb-leipzig</v>
      </c>
      <c r="B284" s="2" t="s">
        <v>73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schalke-04</v>
      </c>
      <c r="B285" s="5" t="s">
        <v>623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vfb-stuttgart</v>
      </c>
      <c r="B286" s="2" t="s">
        <v>75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union-berlin</v>
      </c>
      <c r="B287" s="5" t="s">
        <v>76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241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242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595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243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244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245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246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247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248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249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250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251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596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474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aris-thessaloniki-fc</v>
      </c>
      <c r="B307" s="5" t="s">
        <v>475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asteras-tripolis-fc</v>
      </c>
      <c r="B308" s="5" t="s">
        <v>476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atromitos-fc</v>
      </c>
      <c r="B309" s="5" t="s">
        <v>477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iraklis-fc</v>
      </c>
      <c r="B310" s="5" t="s">
        <v>624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kalamata-fc</v>
      </c>
      <c r="B311" s="5" t="s">
        <v>625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ae-kifisia-fc</v>
      </c>
      <c r="B312" s="5" t="s">
        <v>478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levadiakos-fc</v>
      </c>
      <c r="B313" s="5" t="s">
        <v>479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ofi-crete-fc</v>
      </c>
      <c r="B314" s="5" t="s">
        <v>480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olympiacos-fc</v>
      </c>
      <c r="B315" s="5" t="s">
        <v>481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panathinaikos-fc</v>
      </c>
      <c r="B316" s="5" t="s">
        <v>482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panetolikos-fc</v>
      </c>
      <c r="B317" s="5" t="s">
        <v>483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484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485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252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253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254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255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256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257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acf-fiorentina</v>
      </c>
      <c r="B326" s="2" t="s">
        <v>258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frosinone-calcio</v>
      </c>
      <c r="B327" s="5" t="s">
        <v>626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259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260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261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262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263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ac-monza</v>
      </c>
      <c r="B333" s="5" t="s">
        <v>627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ssc-napoli</v>
      </c>
      <c r="B334" s="2" t="s">
        <v>264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parma-calcio-1913</v>
      </c>
      <c r="B335" s="5" t="s">
        <v>265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468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266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venezia-fc</v>
      </c>
      <c r="B339" s="5" t="s">
        <v>628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268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269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270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271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272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273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274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275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276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277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278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279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280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281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282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283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284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285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286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287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597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598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288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289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290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291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292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293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294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295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296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297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298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299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599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300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301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302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303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304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305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306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610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308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309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311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312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313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314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315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316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317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318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319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320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321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535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322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323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324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325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326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536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327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328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329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330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331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332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333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334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335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336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337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338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339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340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341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587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342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588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589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612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345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346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347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348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349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350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351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352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353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354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355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613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356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357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358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359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360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361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362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363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364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365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366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367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591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368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369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370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592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371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373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600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601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374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375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500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376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377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378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379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380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381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602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382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383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384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385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386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501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387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388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389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390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391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392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393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394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395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396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593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397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614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471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472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408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398</v>
      </c>
      <c r="C512" t="str">
        <f>_xlfn.TEXTBEFORE(_xlfn.TEXTAFTER(Tabla1[[#This Row],[ENLACE]],"/",1),"/")</f>
        <v>spain</v>
      </c>
      <c r="D512" t="s">
        <v>579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399</v>
      </c>
      <c r="C513" t="str">
        <f>_xlfn.TEXTBEFORE(_xlfn.TEXTAFTER(Tabla1[[#This Row],[ENLACE]],"/",1),"/")</f>
        <v>spain</v>
      </c>
      <c r="D513" t="s">
        <v>579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463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400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401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402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615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464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403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616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405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406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473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465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617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618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409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410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411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412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413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414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415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416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417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418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541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419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542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421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543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422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423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424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425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426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427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428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429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430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594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431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432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433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434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435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436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437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438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439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440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441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442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443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444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445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446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447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448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449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450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451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452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453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454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455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456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457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458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459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460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461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462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544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545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546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547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548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549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550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551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552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553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554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555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556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557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558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559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560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561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562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563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564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565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566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567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568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569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570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571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572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573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574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s="11" t="str">
        <f>MID(Tabla1[[#This Row],[ENLACE]],FIND("~",SUBSTITUTE(Tabla1[[#This Row],[ENLACE]],"/","~",2))+1,LEN(Tabla1[[#This Row],[ENLACE]]))</f>
        <v>aek-larnaca-fc</v>
      </c>
      <c r="B623" t="s">
        <v>629</v>
      </c>
      <c r="C623" s="11" t="str">
        <f>_xlfn.TEXTBEFORE(_xlfn.TEXTAFTER(Tabla1[[#This Row],[ENLACE]],"/",1),"/")</f>
        <v>cyprus</v>
      </c>
      <c r="D623" s="11" t="str">
        <f>Tabla1[[#This Row],[PAIS]]</f>
        <v>cyprus</v>
      </c>
      <c r="E623" s="12" t="str">
        <f ca="1">IF(VLOOKUP(Tabla1[[#This Row],[PAIS]],$H$2:$I$34,2)="x","SI","NO")</f>
        <v>SI</v>
      </c>
    </row>
    <row r="624" spans="1:5" x14ac:dyDescent="0.3">
      <c r="A624" s="11" t="str">
        <f>MID(Tabla1[[#This Row],[ENLACE]],FIND("~",SUBSTITUTE(Tabla1[[#This Row],[ENLACE]],"/","~",2))+1,LEN(Tabla1[[#This Row],[ENLACE]]))</f>
        <v>ael-limassol</v>
      </c>
      <c r="B624" t="s">
        <v>630</v>
      </c>
      <c r="C624" s="11" t="str">
        <f>_xlfn.TEXTBEFORE(_xlfn.TEXTAFTER(Tabla1[[#This Row],[ENLACE]],"/",1),"/")</f>
        <v>cyprus</v>
      </c>
      <c r="D624" s="11" t="str">
        <f>Tabla1[[#This Row],[PAIS]]</f>
        <v>cyprus</v>
      </c>
      <c r="E624" s="12" t="str">
        <f ca="1">IF(VLOOKUP(Tabla1[[#This Row],[PAIS]],$H$2:$I$34,2)="x","SI","NO")</f>
        <v>SI</v>
      </c>
    </row>
    <row r="625" spans="1:5" x14ac:dyDescent="0.3">
      <c r="A625" s="11" t="str">
        <f>MID(Tabla1[[#This Row],[ENLACE]],FIND("~",SUBSTITUTE(Tabla1[[#This Row],[ENLACE]],"/","~",2))+1,LEN(Tabla1[[#This Row],[ENLACE]]))</f>
        <v>anorthosis-famagusta-fc</v>
      </c>
      <c r="B625" t="s">
        <v>631</v>
      </c>
      <c r="C625" s="11" t="str">
        <f>_xlfn.TEXTBEFORE(_xlfn.TEXTAFTER(Tabla1[[#This Row],[ENLACE]],"/",1),"/")</f>
        <v>cyprus</v>
      </c>
      <c r="D625" s="11" t="str">
        <f>Tabla1[[#This Row],[PAIS]]</f>
        <v>cyprus</v>
      </c>
      <c r="E625" s="12" t="str">
        <f ca="1">IF(VLOOKUP(Tabla1[[#This Row],[PAIS]],$H$2:$I$34,2)="x","SI","NO")</f>
        <v>SI</v>
      </c>
    </row>
    <row r="626" spans="1:5" x14ac:dyDescent="0.3">
      <c r="A626" s="11" t="str">
        <f>MID(Tabla1[[#This Row],[ENLACE]],FIND("~",SUBSTITUTE(Tabla1[[#This Row],[ENLACE]],"/","~",2))+1,LEN(Tabla1[[#This Row],[ENLACE]]))</f>
        <v>apoel-fc</v>
      </c>
      <c r="B626" t="s">
        <v>632</v>
      </c>
      <c r="C626" s="11" t="str">
        <f>_xlfn.TEXTBEFORE(_xlfn.TEXTAFTER(Tabla1[[#This Row],[ENLACE]],"/",1),"/")</f>
        <v>cyprus</v>
      </c>
      <c r="D626" s="11" t="str">
        <f>Tabla1[[#This Row],[PAIS]]</f>
        <v>cyprus</v>
      </c>
      <c r="E626" s="12" t="str">
        <f ca="1">IF(VLOOKUP(Tabla1[[#This Row],[PAIS]],$H$2:$I$34,2)="x","SI","NO")</f>
        <v>SI</v>
      </c>
    </row>
    <row r="627" spans="1:5" x14ac:dyDescent="0.3">
      <c r="A627" s="11" t="str">
        <f>MID(Tabla1[[#This Row],[ENLACE]],FIND("~",SUBSTITUTE(Tabla1[[#This Row],[ENLACE]],"/","~",2))+1,LEN(Tabla1[[#This Row],[ENLACE]]))</f>
        <v>apollon-limassol</v>
      </c>
      <c r="B627" t="s">
        <v>633</v>
      </c>
      <c r="C627" s="11" t="str">
        <f>_xlfn.TEXTBEFORE(_xlfn.TEXTAFTER(Tabla1[[#This Row],[ENLACE]],"/",1),"/")</f>
        <v>cyprus</v>
      </c>
      <c r="D627" s="11" t="str">
        <f>Tabla1[[#This Row],[PAIS]]</f>
        <v>cyprus</v>
      </c>
      <c r="E627" s="12" t="str">
        <f ca="1">IF(VLOOKUP(Tabla1[[#This Row],[PAIS]],$H$2:$I$34,2)="x","SI","NO")</f>
        <v>SI</v>
      </c>
    </row>
    <row r="628" spans="1:5" x14ac:dyDescent="0.3">
      <c r="A628" s="11" t="str">
        <f>MID(Tabla1[[#This Row],[ENLACE]],FIND("~",SUBSTITUTE(Tabla1[[#This Row],[ENLACE]],"/","~",2))+1,LEN(Tabla1[[#This Row],[ENLACE]]))</f>
        <v>aris-limassol-fc</v>
      </c>
      <c r="B628" t="s">
        <v>634</v>
      </c>
      <c r="C628" s="11" t="str">
        <f>_xlfn.TEXTBEFORE(_xlfn.TEXTAFTER(Tabla1[[#This Row],[ENLACE]],"/",1),"/")</f>
        <v>cyprus</v>
      </c>
      <c r="D628" s="11" t="str">
        <f>Tabla1[[#This Row],[PAIS]]</f>
        <v>cyprus</v>
      </c>
      <c r="E628" s="12" t="str">
        <f ca="1">IF(VLOOKUP(Tabla1[[#This Row],[PAIS]],$H$2:$I$34,2)="x","SI","NO")</f>
        <v>SI</v>
      </c>
    </row>
    <row r="629" spans="1:5" x14ac:dyDescent="0.3">
      <c r="A629" s="11" t="str">
        <f>MID(Tabla1[[#This Row],[ENLACE]],FIND("~",SUBSTITUTE(Tabla1[[#This Row],[ENLACE]],"/","~",2))+1,LEN(Tabla1[[#This Row],[ENLACE]]))</f>
        <v>karmiotissa-fc</v>
      </c>
      <c r="B629" t="s">
        <v>635</v>
      </c>
      <c r="C629" s="11" t="str">
        <f>_xlfn.TEXTBEFORE(_xlfn.TEXTAFTER(Tabla1[[#This Row],[ENLACE]],"/",1),"/")</f>
        <v>cyprus</v>
      </c>
      <c r="D629" s="11" t="str">
        <f>Tabla1[[#This Row],[PAIS]]</f>
        <v>cyprus</v>
      </c>
      <c r="E629" s="12" t="str">
        <f ca="1">IF(VLOOKUP(Tabla1[[#This Row],[PAIS]],$H$2:$I$34,2)="x","SI","NO")</f>
        <v>SI</v>
      </c>
    </row>
    <row r="630" spans="1:5" x14ac:dyDescent="0.3">
      <c r="A630" s="11" t="str">
        <f>MID(Tabla1[[#This Row],[ENLACE]],FIND("~",SUBSTITUTE(Tabla1[[#This Row],[ENLACE]],"/","~",2))+1,LEN(Tabla1[[#This Row],[ENLACE]]))</f>
        <v>krasava-eny-ypsonas-fc</v>
      </c>
      <c r="B630" t="s">
        <v>636</v>
      </c>
      <c r="C630" s="11" t="str">
        <f>_xlfn.TEXTBEFORE(_xlfn.TEXTAFTER(Tabla1[[#This Row],[ENLACE]],"/",1),"/")</f>
        <v>cyprus</v>
      </c>
      <c r="D630" s="11" t="str">
        <f>Tabla1[[#This Row],[PAIS]]</f>
        <v>cyprus</v>
      </c>
      <c r="E630" s="12" t="str">
        <f ca="1">IF(VLOOKUP(Tabla1[[#This Row],[PAIS]],$H$2:$I$34,2)="x","SI","NO")</f>
        <v>SI</v>
      </c>
    </row>
    <row r="631" spans="1:5" x14ac:dyDescent="0.3">
      <c r="A631" s="11" t="str">
        <f>MID(Tabla1[[#This Row],[ENLACE]],FIND("~",SUBSTITUTE(Tabla1[[#This Row],[ENLACE]],"/","~",2))+1,LEN(Tabla1[[#This Row],[ENLACE]]))</f>
        <v>nea-salamis-famagusta-fc</v>
      </c>
      <c r="B631" t="s">
        <v>637</v>
      </c>
      <c r="C631" s="11" t="str">
        <f>_xlfn.TEXTBEFORE(_xlfn.TEXTAFTER(Tabla1[[#This Row],[ENLACE]],"/",1),"/")</f>
        <v>cyprus</v>
      </c>
      <c r="D631" s="11" t="str">
        <f>Tabla1[[#This Row],[PAIS]]</f>
        <v>cyprus</v>
      </c>
      <c r="E631" s="12" t="str">
        <f ca="1">IF(VLOOKUP(Tabla1[[#This Row],[PAIS]],$H$2:$I$34,2)="x","SI","NO")</f>
        <v>SI</v>
      </c>
    </row>
    <row r="632" spans="1:5" x14ac:dyDescent="0.3">
      <c r="A632" s="11" t="str">
        <f>MID(Tabla1[[#This Row],[ENLACE]],FIND("~",SUBSTITUTE(Tabla1[[#This Row],[ENLACE]],"/","~",2))+1,LEN(Tabla1[[#This Row],[ENLACE]]))</f>
        <v>olympiakos-nicosia</v>
      </c>
      <c r="B632" t="s">
        <v>638</v>
      </c>
      <c r="C632" s="11" t="str">
        <f>_xlfn.TEXTBEFORE(_xlfn.TEXTAFTER(Tabla1[[#This Row],[ENLACE]],"/",1),"/")</f>
        <v>cyprus</v>
      </c>
      <c r="D632" s="11" t="str">
        <f>Tabla1[[#This Row],[PAIS]]</f>
        <v>cyprus</v>
      </c>
      <c r="E632" s="12" t="str">
        <f ca="1">IF(VLOOKUP(Tabla1[[#This Row],[PAIS]],$H$2:$I$34,2)="x","SI","NO")</f>
        <v>SI</v>
      </c>
    </row>
    <row r="633" spans="1:5" x14ac:dyDescent="0.3">
      <c r="A633" s="11" t="str">
        <f>MID(Tabla1[[#This Row],[ENLACE]],FIND("~",SUBSTITUTE(Tabla1[[#This Row],[ENLACE]],"/","~",2))+1,LEN(Tabla1[[#This Row],[ENLACE]]))</f>
        <v>ac-omonia</v>
      </c>
      <c r="B633" t="s">
        <v>639</v>
      </c>
      <c r="C633" s="11" t="str">
        <f>_xlfn.TEXTBEFORE(_xlfn.TEXTAFTER(Tabla1[[#This Row],[ENLACE]],"/",1),"/")</f>
        <v>cyprus</v>
      </c>
      <c r="D633" s="11" t="str">
        <f>Tabla1[[#This Row],[PAIS]]</f>
        <v>cyprus</v>
      </c>
      <c r="E633" s="12" t="str">
        <f ca="1">IF(VLOOKUP(Tabla1[[#This Row],[PAIS]],$H$2:$I$34,2)="x","SI","NO")</f>
        <v>SI</v>
      </c>
    </row>
    <row r="634" spans="1:5" x14ac:dyDescent="0.3">
      <c r="A634" s="11" t="str">
        <f>MID(Tabla1[[#This Row],[ENLACE]],FIND("~",SUBSTITUTE(Tabla1[[#This Row],[ENLACE]],"/","~",2))+1,LEN(Tabla1[[#This Row],[ENLACE]]))</f>
        <v>pac-omonia-29m</v>
      </c>
      <c r="B634" t="s">
        <v>640</v>
      </c>
      <c r="C634" s="11" t="str">
        <f>_xlfn.TEXTBEFORE(_xlfn.TEXTAFTER(Tabla1[[#This Row],[ENLACE]],"/",1),"/")</f>
        <v>cyprus</v>
      </c>
      <c r="D634" s="11" t="str">
        <f>Tabla1[[#This Row],[PAIS]]</f>
        <v>cyprus</v>
      </c>
      <c r="E634" s="12" t="str">
        <f ca="1">IF(VLOOKUP(Tabla1[[#This Row],[PAIS]],$H$2:$I$34,2)="x","SI","NO")</f>
        <v>SI</v>
      </c>
    </row>
    <row r="635" spans="1:5" x14ac:dyDescent="0.3">
      <c r="A635" s="11" t="str">
        <f>MID(Tabla1[[#This Row],[ENLACE]],FIND("~",SUBSTITUTE(Tabla1[[#This Row],[ENLACE]],"/","~",2))+1,LEN(Tabla1[[#This Row],[ENLACE]]))</f>
        <v>omonia-aradippou</v>
      </c>
      <c r="B635" t="s">
        <v>641</v>
      </c>
      <c r="C635" s="11" t="str">
        <f>_xlfn.TEXTBEFORE(_xlfn.TEXTAFTER(Tabla1[[#This Row],[ENLACE]],"/",1),"/")</f>
        <v>cyprus</v>
      </c>
      <c r="D635" s="11" t="str">
        <f>Tabla1[[#This Row],[PAIS]]</f>
        <v>cyprus</v>
      </c>
      <c r="E635" s="12" t="str">
        <f ca="1">IF(VLOOKUP(Tabla1[[#This Row],[PAIS]],$H$2:$I$34,2)="x","SI","NO")</f>
        <v>SI</v>
      </c>
    </row>
    <row r="636" spans="1:5" x14ac:dyDescent="0.3">
      <c r="A636" s="11" t="str">
        <f>MID(Tabla1[[#This Row],[ENLACE]],FIND("~",SUBSTITUTE(Tabla1[[#This Row],[ENLACE]],"/","~",2))+1,LEN(Tabla1[[#This Row],[ENLACE]]))</f>
        <v>pafos-fc</v>
      </c>
      <c r="B636" t="s">
        <v>642</v>
      </c>
      <c r="C636" s="11" t="str">
        <f>_xlfn.TEXTBEFORE(_xlfn.TEXTAFTER(Tabla1[[#This Row],[ENLACE]],"/",1),"/")</f>
        <v>cyprus</v>
      </c>
      <c r="D636" s="11" t="str">
        <f>Tabla1[[#This Row],[PAIS]]</f>
        <v>cyprus</v>
      </c>
      <c r="E636" s="12" t="str">
        <f ca="1">IF(VLOOKUP(Tabla1[[#This Row],[PAIS]],$H$2:$I$34,2)="x","SI","NO")</f>
        <v>SI</v>
      </c>
    </row>
    <row r="637" spans="1:5" x14ac:dyDescent="0.3">
      <c r="A637" s="11" t="str">
        <f>MID(Tabla1[[#This Row],[ENLACE]],FIND("~",SUBSTITUTE(Tabla1[[#This Row],[ENLACE]],"/","~",2))+1,LEN(Tabla1[[#This Row],[ENLACE]]))</f>
        <v>debrecen</v>
      </c>
      <c r="B637" t="s">
        <v>643</v>
      </c>
      <c r="C637" s="11" t="str">
        <f>_xlfn.TEXTBEFORE(_xlfn.TEXTAFTER(Tabla1[[#This Row],[ENLACE]],"/",1),"/")</f>
        <v>hungary</v>
      </c>
      <c r="D637" s="11" t="str">
        <f>Tabla1[[#This Row],[PAIS]]</f>
        <v>hungary</v>
      </c>
      <c r="E637" s="12" t="str">
        <f ca="1">IF(VLOOKUP(Tabla1[[#This Row],[PAIS]],$H$2:$I$34,2)="x","SI","NO")</f>
        <v>SI</v>
      </c>
    </row>
    <row r="638" spans="1:5" x14ac:dyDescent="0.3">
      <c r="A638" s="11" t="str">
        <f>MID(Tabla1[[#This Row],[ENLACE]],FIND("~",SUBSTITUTE(Tabla1[[#This Row],[ENLACE]],"/","~",2))+1,LEN(Tabla1[[#This Row],[ENLACE]]))</f>
        <v>ferencvaros</v>
      </c>
      <c r="B638" t="s">
        <v>644</v>
      </c>
      <c r="C638" s="11" t="str">
        <f>_xlfn.TEXTBEFORE(_xlfn.TEXTAFTER(Tabla1[[#This Row],[ENLACE]],"/",1),"/")</f>
        <v>hungary</v>
      </c>
      <c r="D638" s="11" t="str">
        <f>Tabla1[[#This Row],[PAIS]]</f>
        <v>hungary</v>
      </c>
      <c r="E638" s="12" t="str">
        <f ca="1">IF(VLOOKUP(Tabla1[[#This Row],[PAIS]],$H$2:$I$34,2)="x","SI","NO")</f>
        <v>SI</v>
      </c>
    </row>
    <row r="639" spans="1:5" x14ac:dyDescent="0.3">
      <c r="A639" s="11" t="str">
        <f>MID(Tabla1[[#This Row],[ENLACE]],FIND("~",SUBSTITUTE(Tabla1[[#This Row],[ENLACE]],"/","~",2))+1,LEN(Tabla1[[#This Row],[ENLACE]]))</f>
        <v>gyori-eto-fc</v>
      </c>
      <c r="B639" t="s">
        <v>645</v>
      </c>
      <c r="C639" s="11" t="str">
        <f>_xlfn.TEXTBEFORE(_xlfn.TEXTAFTER(Tabla1[[#This Row],[ENLACE]],"/",1),"/")</f>
        <v>hungary</v>
      </c>
      <c r="D639" s="11" t="str">
        <f>Tabla1[[#This Row],[PAIS]]</f>
        <v>hungary</v>
      </c>
      <c r="E639" s="12" t="str">
        <f ca="1">IF(VLOOKUP(Tabla1[[#This Row],[PAIS]],$H$2:$I$34,2)="x","SI","NO")</f>
        <v>SI</v>
      </c>
    </row>
    <row r="640" spans="1:5" x14ac:dyDescent="0.3">
      <c r="A640" s="11" t="str">
        <f>MID(Tabla1[[#This Row],[ENLACE]],FIND("~",SUBSTITUTE(Tabla1[[#This Row],[ENLACE]],"/","~",2))+1,LEN(Tabla1[[#This Row],[ENLACE]]))</f>
        <v>budapest-honved-fc</v>
      </c>
      <c r="B640" t="s">
        <v>646</v>
      </c>
      <c r="C640" s="11" t="str">
        <f>_xlfn.TEXTBEFORE(_xlfn.TEXTAFTER(Tabla1[[#This Row],[ENLACE]],"/",1),"/")</f>
        <v>hungary</v>
      </c>
      <c r="D640" s="11" t="str">
        <f>Tabla1[[#This Row],[PAIS]]</f>
        <v>hungary</v>
      </c>
      <c r="E640" s="12" t="str">
        <f ca="1">IF(VLOOKUP(Tabla1[[#This Row],[PAIS]],$H$2:$I$34,2)="x","SI","NO")</f>
        <v>SI</v>
      </c>
    </row>
    <row r="641" spans="1:5" x14ac:dyDescent="0.3">
      <c r="A641" s="11" t="str">
        <f>MID(Tabla1[[#This Row],[ENLACE]],FIND("~",SUBSTITUTE(Tabla1[[#This Row],[ENLACE]],"/","~",2))+1,LEN(Tabla1[[#This Row],[ENLACE]]))</f>
        <v>kisvarda-fc</v>
      </c>
      <c r="B641" t="s">
        <v>647</v>
      </c>
      <c r="C641" s="11" t="str">
        <f>_xlfn.TEXTBEFORE(_xlfn.TEXTAFTER(Tabla1[[#This Row],[ENLACE]],"/",1),"/")</f>
        <v>hungary</v>
      </c>
      <c r="D641" s="11" t="str">
        <f>Tabla1[[#This Row],[PAIS]]</f>
        <v>hungary</v>
      </c>
      <c r="E641" s="12" t="str">
        <f ca="1">IF(VLOOKUP(Tabla1[[#This Row],[PAIS]],$H$2:$I$34,2)="x","SI","NO")</f>
        <v>SI</v>
      </c>
    </row>
    <row r="642" spans="1:5" x14ac:dyDescent="0.3">
      <c r="A642" s="11" t="str">
        <f>MID(Tabla1[[#This Row],[ENLACE]],FIND("~",SUBSTITUTE(Tabla1[[#This Row],[ENLACE]],"/","~",2))+1,LEN(Tabla1[[#This Row],[ENLACE]]))</f>
        <v>mtk-budapest-fc</v>
      </c>
      <c r="B642" t="s">
        <v>648</v>
      </c>
      <c r="C642" s="11" t="str">
        <f>_xlfn.TEXTBEFORE(_xlfn.TEXTAFTER(Tabla1[[#This Row],[ENLACE]],"/",1),"/")</f>
        <v>hungary</v>
      </c>
      <c r="D642" s="11" t="str">
        <f>Tabla1[[#This Row],[PAIS]]</f>
        <v>hungary</v>
      </c>
      <c r="E642" s="12" t="str">
        <f ca="1">IF(VLOOKUP(Tabla1[[#This Row],[PAIS]],$H$2:$I$34,2)="x","SI","NO")</f>
        <v>SI</v>
      </c>
    </row>
    <row r="643" spans="1:5" x14ac:dyDescent="0.3">
      <c r="A643" s="11" t="str">
        <f>MID(Tabla1[[#This Row],[ENLACE]],FIND("~",SUBSTITUTE(Tabla1[[#This Row],[ENLACE]],"/","~",2))+1,LEN(Tabla1[[#This Row],[ENLACE]]))</f>
        <v>nyiregyhaza-spartacus-fc</v>
      </c>
      <c r="B643" t="s">
        <v>649</v>
      </c>
      <c r="C643" s="11" t="str">
        <f>_xlfn.TEXTBEFORE(_xlfn.TEXTAFTER(Tabla1[[#This Row],[ENLACE]],"/",1),"/")</f>
        <v>hungary</v>
      </c>
      <c r="D643" s="11" t="str">
        <f>Tabla1[[#This Row],[PAIS]]</f>
        <v>hungary</v>
      </c>
      <c r="E643" s="12" t="str">
        <f ca="1">IF(VLOOKUP(Tabla1[[#This Row],[PAIS]],$H$2:$I$34,2)="x","SI","NO")</f>
        <v>SI</v>
      </c>
    </row>
    <row r="644" spans="1:5" x14ac:dyDescent="0.3">
      <c r="A644" s="11" t="str">
        <f>MID(Tabla1[[#This Row],[ENLACE]],FIND("~",SUBSTITUTE(Tabla1[[#This Row],[ENLACE]],"/","~",2))+1,LEN(Tabla1[[#This Row],[ENLACE]]))</f>
        <v>paksi-fc</v>
      </c>
      <c r="B644" t="s">
        <v>650</v>
      </c>
      <c r="C644" s="11" t="str">
        <f>_xlfn.TEXTBEFORE(_xlfn.TEXTAFTER(Tabla1[[#This Row],[ENLACE]],"/",1),"/")</f>
        <v>hungary</v>
      </c>
      <c r="D644" s="11" t="str">
        <f>Tabla1[[#This Row],[PAIS]]</f>
        <v>hungary</v>
      </c>
      <c r="E644" s="12" t="str">
        <f ca="1">IF(VLOOKUP(Tabla1[[#This Row],[PAIS]],$H$2:$I$34,2)="x","SI","NO")</f>
        <v>SI</v>
      </c>
    </row>
    <row r="645" spans="1:5" x14ac:dyDescent="0.3">
      <c r="A645" s="11" t="str">
        <f>MID(Tabla1[[#This Row],[ENLACE]],FIND("~",SUBSTITUTE(Tabla1[[#This Row],[ENLACE]],"/","~",2))+1,LEN(Tabla1[[#This Row],[ENLACE]]))</f>
        <v>puskas-akademia-fc</v>
      </c>
      <c r="B645" t="s">
        <v>651</v>
      </c>
      <c r="C645" s="11" t="str">
        <f>_xlfn.TEXTBEFORE(_xlfn.TEXTAFTER(Tabla1[[#This Row],[ENLACE]],"/",1),"/")</f>
        <v>hungary</v>
      </c>
      <c r="D645" s="11" t="str">
        <f>Tabla1[[#This Row],[PAIS]]</f>
        <v>hungary</v>
      </c>
      <c r="E645" s="12" t="str">
        <f ca="1">IF(VLOOKUP(Tabla1[[#This Row],[PAIS]],$H$2:$I$34,2)="x","SI","NO")</f>
        <v>SI</v>
      </c>
    </row>
    <row r="646" spans="1:5" x14ac:dyDescent="0.3">
      <c r="A646" s="11" t="str">
        <f>MID(Tabla1[[#This Row],[ENLACE]],FIND("~",SUBSTITUTE(Tabla1[[#This Row],[ENLACE]],"/","~",2))+1,LEN(Tabla1[[#This Row],[ENLACE]]))</f>
        <v>ujpest-fc</v>
      </c>
      <c r="B646" t="s">
        <v>652</v>
      </c>
      <c r="C646" s="11" t="str">
        <f>_xlfn.TEXTBEFORE(_xlfn.TEXTAFTER(Tabla1[[#This Row],[ENLACE]],"/",1),"/")</f>
        <v>hungary</v>
      </c>
      <c r="D646" s="11" t="str">
        <f>Tabla1[[#This Row],[PAIS]]</f>
        <v>hungary</v>
      </c>
      <c r="E646" s="12" t="str">
        <f ca="1">IF(VLOOKUP(Tabla1[[#This Row],[PAIS]],$H$2:$I$34,2)="x","SI","NO")</f>
        <v>SI</v>
      </c>
    </row>
    <row r="647" spans="1:5" x14ac:dyDescent="0.3">
      <c r="A647" s="11" t="str">
        <f>MID(Tabla1[[#This Row],[ENLACE]],FIND("~",SUBSTITUTE(Tabla1[[#This Row],[ENLACE]],"/","~",2))+1,LEN(Tabla1[[#This Row],[ENLACE]]))</f>
        <v>vasas-sc</v>
      </c>
      <c r="B647" t="s">
        <v>653</v>
      </c>
      <c r="C647" s="11" t="str">
        <f>_xlfn.TEXTBEFORE(_xlfn.TEXTAFTER(Tabla1[[#This Row],[ENLACE]],"/",1),"/")</f>
        <v>hungary</v>
      </c>
      <c r="D647" s="11" t="str">
        <f>Tabla1[[#This Row],[PAIS]]</f>
        <v>hungary</v>
      </c>
      <c r="E647" s="12" t="str">
        <f ca="1">IF(VLOOKUP(Tabla1[[#This Row],[PAIS]],$H$2:$I$34,2)="x","SI","NO")</f>
        <v>SI</v>
      </c>
    </row>
    <row r="648" spans="1:5" x14ac:dyDescent="0.3">
      <c r="A648" s="11" t="str">
        <f>MID(Tabla1[[#This Row],[ENLACE]],FIND("~",SUBSTITUTE(Tabla1[[#This Row],[ENLACE]],"/","~",2))+1,LEN(Tabla1[[#This Row],[ENLACE]]))</f>
        <v>zalaegerszeg-te</v>
      </c>
      <c r="B648" t="s">
        <v>654</v>
      </c>
      <c r="C648" s="11" t="str">
        <f>_xlfn.TEXTBEFORE(_xlfn.TEXTAFTER(Tabla1[[#This Row],[ENLACE]],"/",1),"/")</f>
        <v>hungary</v>
      </c>
      <c r="D648" s="11" t="str">
        <f>Tabla1[[#This Row],[PAIS]]</f>
        <v>hungary</v>
      </c>
      <c r="E648" s="12" t="str">
        <f ca="1">IF(VLOOKUP(Tabla1[[#This Row],[PAIS]],$H$2:$I$34,2)="x","SI","NO")</f>
        <v>SI</v>
      </c>
    </row>
    <row r="649" spans="1:5" x14ac:dyDescent="0.3">
      <c r="A649" s="11" t="str">
        <f>MID(Tabla1[[#This Row],[ENLACE]],FIND("~",SUBSTITUTE(Tabla1[[#This Row],[ENLACE]],"/","~",2))+1,LEN(Tabla1[[#This Row],[ENLACE]]))</f>
        <v>albion-fc</v>
      </c>
      <c r="B649" t="s">
        <v>655</v>
      </c>
      <c r="C649" s="11" t="str">
        <f>_xlfn.TEXTBEFORE(_xlfn.TEXTAFTER(Tabla1[[#This Row],[ENLACE]],"/",1),"/")</f>
        <v>uruguay</v>
      </c>
      <c r="D649" s="11" t="str">
        <f>Tabla1[[#This Row],[PAIS]]</f>
        <v>uruguay</v>
      </c>
      <c r="E649" s="12" t="str">
        <f ca="1">IF(VLOOKUP(Tabla1[[#This Row],[PAIS]],$H$2:$I$34,2)="x","SI","NO")</f>
        <v>SI</v>
      </c>
    </row>
    <row r="650" spans="1:5" x14ac:dyDescent="0.3">
      <c r="A650" s="11" t="str">
        <f>MID(Tabla1[[#This Row],[ENLACE]],FIND("~",SUBSTITUTE(Tabla1[[#This Row],[ENLACE]],"/","~",2))+1,LEN(Tabla1[[#This Row],[ENLACE]]))</f>
        <v>boston-river</v>
      </c>
      <c r="B650" t="s">
        <v>656</v>
      </c>
      <c r="C650" s="11" t="str">
        <f>_xlfn.TEXTBEFORE(_xlfn.TEXTAFTER(Tabla1[[#This Row],[ENLACE]],"/",1),"/")</f>
        <v>uruguay</v>
      </c>
      <c r="D650" s="11" t="str">
        <f>Tabla1[[#This Row],[PAIS]]</f>
        <v>uruguay</v>
      </c>
      <c r="E650" s="12" t="str">
        <f ca="1">IF(VLOOKUP(Tabla1[[#This Row],[PAIS]],$H$2:$I$34,2)="x","SI","NO")</f>
        <v>SI</v>
      </c>
    </row>
    <row r="651" spans="1:5" x14ac:dyDescent="0.3">
      <c r="A651" s="11" t="str">
        <f>MID(Tabla1[[#This Row],[ENLACE]],FIND("~",SUBSTITUTE(Tabla1[[#This Row],[ENLACE]],"/","~",2))+1,LEN(Tabla1[[#This Row],[ENLACE]]))</f>
        <v>central-espanol</v>
      </c>
      <c r="B651" t="s">
        <v>657</v>
      </c>
      <c r="C651" s="11" t="str">
        <f>_xlfn.TEXTBEFORE(_xlfn.TEXTAFTER(Tabla1[[#This Row],[ENLACE]],"/",1),"/")</f>
        <v>uruguay</v>
      </c>
      <c r="D651" s="11" t="str">
        <f>Tabla1[[#This Row],[PAIS]]</f>
        <v>uruguay</v>
      </c>
      <c r="E651" s="12" t="str">
        <f ca="1">IF(VLOOKUP(Tabla1[[#This Row],[PAIS]],$H$2:$I$34,2)="x","SI","NO")</f>
        <v>SI</v>
      </c>
    </row>
    <row r="652" spans="1:5" x14ac:dyDescent="0.3">
      <c r="A652" s="11" t="str">
        <f>MID(Tabla1[[#This Row],[ENLACE]],FIND("~",SUBSTITUTE(Tabla1[[#This Row],[ENLACE]],"/","~",2))+1,LEN(Tabla1[[#This Row],[ENLACE]]))</f>
        <v>club-atletico-cerro</v>
      </c>
      <c r="B652" t="s">
        <v>658</v>
      </c>
      <c r="C652" s="11" t="str">
        <f>_xlfn.TEXTBEFORE(_xlfn.TEXTAFTER(Tabla1[[#This Row],[ENLACE]],"/",1),"/")</f>
        <v>uruguay</v>
      </c>
      <c r="D652" s="11" t="str">
        <f>Tabla1[[#This Row],[PAIS]]</f>
        <v>uruguay</v>
      </c>
      <c r="E652" s="12" t="str">
        <f ca="1">IF(VLOOKUP(Tabla1[[#This Row],[PAIS]],$H$2:$I$34,2)="x","SI","NO")</f>
        <v>SI</v>
      </c>
    </row>
    <row r="653" spans="1:5" x14ac:dyDescent="0.3">
      <c r="A653" s="11" t="str">
        <f>MID(Tabla1[[#This Row],[ENLACE]],FIND("~",SUBSTITUTE(Tabla1[[#This Row],[ENLACE]],"/","~",2))+1,LEN(Tabla1[[#This Row],[ENLACE]]))</f>
        <v>cerro-largo-fc</v>
      </c>
      <c r="B653" t="s">
        <v>659</v>
      </c>
      <c r="C653" s="11" t="str">
        <f>_xlfn.TEXTBEFORE(_xlfn.TEXTAFTER(Tabla1[[#This Row],[ENLACE]],"/",1),"/")</f>
        <v>uruguay</v>
      </c>
      <c r="D653" s="11" t="str">
        <f>Tabla1[[#This Row],[PAIS]]</f>
        <v>uruguay</v>
      </c>
      <c r="E653" s="12" t="str">
        <f ca="1">IF(VLOOKUP(Tabla1[[#This Row],[PAIS]],$H$2:$I$34,2)="x","SI","NO")</f>
        <v>SI</v>
      </c>
    </row>
    <row r="654" spans="1:5" x14ac:dyDescent="0.3">
      <c r="A654" s="11" t="str">
        <f>MID(Tabla1[[#This Row],[ENLACE]],FIND("~",SUBSTITUTE(Tabla1[[#This Row],[ENLACE]],"/","~",2))+1,LEN(Tabla1[[#This Row],[ENLACE]]))</f>
        <v>danubio-fc</v>
      </c>
      <c r="B654" t="s">
        <v>660</v>
      </c>
      <c r="C654" s="11" t="str">
        <f>_xlfn.TEXTBEFORE(_xlfn.TEXTAFTER(Tabla1[[#This Row],[ENLACE]],"/",1),"/")</f>
        <v>uruguay</v>
      </c>
      <c r="D654" s="11" t="str">
        <f>Tabla1[[#This Row],[PAIS]]</f>
        <v>uruguay</v>
      </c>
      <c r="E654" s="12" t="str">
        <f ca="1">IF(VLOOKUP(Tabla1[[#This Row],[PAIS]],$H$2:$I$34,2)="x","SI","NO")</f>
        <v>SI</v>
      </c>
    </row>
    <row r="655" spans="1:5" x14ac:dyDescent="0.3">
      <c r="A655" s="11" t="str">
        <f>MID(Tabla1[[#This Row],[ENLACE]],FIND("~",SUBSTITUTE(Tabla1[[#This Row],[ENLACE]],"/","~",2))+1,LEN(Tabla1[[#This Row],[ENLACE]]))</f>
        <v>defensor-sporting</v>
      </c>
      <c r="B655" t="s">
        <v>661</v>
      </c>
      <c r="C655" s="11" t="str">
        <f>_xlfn.TEXTBEFORE(_xlfn.TEXTAFTER(Tabla1[[#This Row],[ENLACE]],"/",1),"/")</f>
        <v>uruguay</v>
      </c>
      <c r="D655" s="11" t="str">
        <f>Tabla1[[#This Row],[PAIS]]</f>
        <v>uruguay</v>
      </c>
      <c r="E655" s="12" t="str">
        <f ca="1">IF(VLOOKUP(Tabla1[[#This Row],[PAIS]],$H$2:$I$34,2)="x","SI","NO")</f>
        <v>SI</v>
      </c>
    </row>
    <row r="656" spans="1:5" x14ac:dyDescent="0.3">
      <c r="A656" s="11" t="str">
        <f>MID(Tabla1[[#This Row],[ENLACE]],FIND("~",SUBSTITUTE(Tabla1[[#This Row],[ENLACE]],"/","~",2))+1,LEN(Tabla1[[#This Row],[ENLACE]]))</f>
        <v>juventud-de-las-piedras</v>
      </c>
      <c r="B656" t="s">
        <v>662</v>
      </c>
      <c r="C656" s="11" t="str">
        <f>_xlfn.TEXTBEFORE(_xlfn.TEXTAFTER(Tabla1[[#This Row],[ENLACE]],"/",1),"/")</f>
        <v>uruguay</v>
      </c>
      <c r="D656" s="11" t="str">
        <f>Tabla1[[#This Row],[PAIS]]</f>
        <v>uruguay</v>
      </c>
      <c r="E656" s="12" t="str">
        <f ca="1">IF(VLOOKUP(Tabla1[[#This Row],[PAIS]],$H$2:$I$34,2)="x","SI","NO")</f>
        <v>SI</v>
      </c>
    </row>
    <row r="657" spans="1:5" x14ac:dyDescent="0.3">
      <c r="A657" s="11" t="str">
        <f>MID(Tabla1[[#This Row],[ENLACE]],FIND("~",SUBSTITUTE(Tabla1[[#This Row],[ENLACE]],"/","~",2))+1,LEN(Tabla1[[#This Row],[ENLACE]]))</f>
        <v>liverpool-fc-montevideo</v>
      </c>
      <c r="B657" t="s">
        <v>663</v>
      </c>
      <c r="C657" s="11" t="str">
        <f>_xlfn.TEXTBEFORE(_xlfn.TEXTAFTER(Tabla1[[#This Row],[ENLACE]],"/",1),"/")</f>
        <v>uruguay</v>
      </c>
      <c r="D657" s="11" t="str">
        <f>Tabla1[[#This Row],[PAIS]]</f>
        <v>uruguay</v>
      </c>
      <c r="E657" s="12" t="str">
        <f ca="1">IF(VLOOKUP(Tabla1[[#This Row],[PAIS]],$H$2:$I$34,2)="x","SI","NO")</f>
        <v>SI</v>
      </c>
    </row>
    <row r="658" spans="1:5" x14ac:dyDescent="0.3">
      <c r="A658" s="11" t="str">
        <f>MID(Tabla1[[#This Row],[ENLACE]],FIND("~",SUBSTITUTE(Tabla1[[#This Row],[ENLACE]],"/","~",2))+1,LEN(Tabla1[[#This Row],[ENLACE]]))</f>
        <v>deportivo-maldonado</v>
      </c>
      <c r="B658" t="s">
        <v>664</v>
      </c>
      <c r="C658" s="11" t="str">
        <f>_xlfn.TEXTBEFORE(_xlfn.TEXTAFTER(Tabla1[[#This Row],[ENLACE]],"/",1),"/")</f>
        <v>uruguay</v>
      </c>
      <c r="D658" s="11" t="str">
        <f>Tabla1[[#This Row],[PAIS]]</f>
        <v>uruguay</v>
      </c>
      <c r="E658" s="12" t="str">
        <f ca="1">IF(VLOOKUP(Tabla1[[#This Row],[PAIS]],$H$2:$I$34,2)="x","SI","NO")</f>
        <v>SI</v>
      </c>
    </row>
    <row r="659" spans="1:5" x14ac:dyDescent="0.3">
      <c r="A659" s="11" t="str">
        <f>MID(Tabla1[[#This Row],[ENLACE]],FIND("~",SUBSTITUTE(Tabla1[[#This Row],[ENLACE]],"/","~",2))+1,LEN(Tabla1[[#This Row],[ENLACE]]))</f>
        <v>montevideo-city-torque</v>
      </c>
      <c r="B659" t="s">
        <v>665</v>
      </c>
      <c r="C659" s="11" t="str">
        <f>_xlfn.TEXTBEFORE(_xlfn.TEXTAFTER(Tabla1[[#This Row],[ENLACE]],"/",1),"/")</f>
        <v>uruguay</v>
      </c>
      <c r="D659" s="11" t="str">
        <f>Tabla1[[#This Row],[PAIS]]</f>
        <v>uruguay</v>
      </c>
      <c r="E659" s="12" t="str">
        <f ca="1">IF(VLOOKUP(Tabla1[[#This Row],[PAIS]],$H$2:$I$34,2)="x","SI","NO")</f>
        <v>SI</v>
      </c>
    </row>
    <row r="660" spans="1:5" x14ac:dyDescent="0.3">
      <c r="A660" s="11" t="str">
        <f>MID(Tabla1[[#This Row],[ENLACE]],FIND("~",SUBSTITUTE(Tabla1[[#This Row],[ENLACE]],"/","~",2))+1,LEN(Tabla1[[#This Row],[ENLACE]]))</f>
        <v>club-nacional-de-football</v>
      </c>
      <c r="B660" t="s">
        <v>666</v>
      </c>
      <c r="C660" s="11" t="str">
        <f>_xlfn.TEXTBEFORE(_xlfn.TEXTAFTER(Tabla1[[#This Row],[ENLACE]],"/",1),"/")</f>
        <v>uruguay</v>
      </c>
      <c r="D660" s="11" t="str">
        <f>Tabla1[[#This Row],[PAIS]]</f>
        <v>uruguay</v>
      </c>
      <c r="E660" s="12" t="str">
        <f ca="1">IF(VLOOKUP(Tabla1[[#This Row],[PAIS]],$H$2:$I$34,2)="x","SI","NO")</f>
        <v>SI</v>
      </c>
    </row>
    <row r="661" spans="1:5" x14ac:dyDescent="0.3">
      <c r="A661" s="11" t="str">
        <f>MID(Tabla1[[#This Row],[ENLACE]],FIND("~",SUBSTITUTE(Tabla1[[#This Row],[ENLACE]],"/","~",2))+1,LEN(Tabla1[[#This Row],[ENLACE]]))</f>
        <v>penarol</v>
      </c>
      <c r="B661" t="s">
        <v>667</v>
      </c>
      <c r="C661" s="11" t="str">
        <f>_xlfn.TEXTBEFORE(_xlfn.TEXTAFTER(Tabla1[[#This Row],[ENLACE]],"/",1),"/")</f>
        <v>uruguay</v>
      </c>
      <c r="D661" s="11" t="str">
        <f>Tabla1[[#This Row],[PAIS]]</f>
        <v>uruguay</v>
      </c>
      <c r="E661" s="12" t="str">
        <f ca="1">IF(VLOOKUP(Tabla1[[#This Row],[PAIS]],$H$2:$I$34,2)="x","SI","NO")</f>
        <v>SI</v>
      </c>
    </row>
    <row r="662" spans="1:5" x14ac:dyDescent="0.3">
      <c r="A662" s="11" t="str">
        <f>MID(Tabla1[[#This Row],[ENLACE]],FIND("~",SUBSTITUTE(Tabla1[[#This Row],[ENLACE]],"/","~",2))+1,LEN(Tabla1[[#This Row],[ENLACE]]))</f>
        <v>club-atletico-progreso</v>
      </c>
      <c r="B662" t="s">
        <v>668</v>
      </c>
      <c r="C662" s="11" t="str">
        <f>_xlfn.TEXTBEFORE(_xlfn.TEXTAFTER(Tabla1[[#This Row],[ENLACE]],"/",1),"/")</f>
        <v>uruguay</v>
      </c>
      <c r="D662" s="11" t="str">
        <f>Tabla1[[#This Row],[PAIS]]</f>
        <v>uruguay</v>
      </c>
      <c r="E662" s="12" t="str">
        <f ca="1">IF(VLOOKUP(Tabla1[[#This Row],[PAIS]],$H$2:$I$34,2)="x","SI","NO")</f>
        <v>SI</v>
      </c>
    </row>
    <row r="663" spans="1:5" x14ac:dyDescent="0.3">
      <c r="A663" s="11" t="str">
        <f>MID(Tabla1[[#This Row],[ENLACE]],FIND("~",SUBSTITUTE(Tabla1[[#This Row],[ENLACE]],"/","~",2))+1,LEN(Tabla1[[#This Row],[ENLACE]]))</f>
        <v>racing-club-de-montevideo</v>
      </c>
      <c r="B663" t="s">
        <v>669</v>
      </c>
      <c r="C663" s="11" t="str">
        <f>_xlfn.TEXTBEFORE(_xlfn.TEXTAFTER(Tabla1[[#This Row],[ENLACE]],"/",1),"/")</f>
        <v>uruguay</v>
      </c>
      <c r="D663" s="11" t="str">
        <f>Tabla1[[#This Row],[PAIS]]</f>
        <v>uruguay</v>
      </c>
      <c r="E663" s="12" t="str">
        <f ca="1">IF(VLOOKUP(Tabla1[[#This Row],[PAIS]],$H$2:$I$34,2)="x","SI","NO")</f>
        <v>SI</v>
      </c>
    </row>
    <row r="664" spans="1:5" x14ac:dyDescent="0.3">
      <c r="A664" s="11" t="str">
        <f>MID(Tabla1[[#This Row],[ENLACE]],FIND("~",SUBSTITUTE(Tabla1[[#This Row],[ENLACE]],"/","~",2))+1,LEN(Tabla1[[#This Row],[ENLACE]]))</f>
        <v>montevideo-wanderers-fc</v>
      </c>
      <c r="B664" t="s">
        <v>670</v>
      </c>
      <c r="C664" s="11" t="str">
        <f>_xlfn.TEXTBEFORE(_xlfn.TEXTAFTER(Tabla1[[#This Row],[ENLACE]],"/",1),"/")</f>
        <v>uruguay</v>
      </c>
      <c r="D664" s="11" t="str">
        <f>Tabla1[[#This Row],[PAIS]]</f>
        <v>uruguay</v>
      </c>
      <c r="E664" s="12" t="str">
        <f ca="1">IF(VLOOKUP(Tabla1[[#This Row],[PAIS]],$H$2:$I$34,2)="x","SI","NO")</f>
        <v>SI</v>
      </c>
    </row>
  </sheetData>
  <conditionalFormatting sqref="K2:K37">
    <cfRule type="containsText" dxfId="5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2026-09-19T15:51:34Z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