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EE335276-0F42-4080-9B9E-E7075569CE42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1" l="1"/>
  <c r="A73" i="1"/>
  <c r="C72" i="1"/>
  <c r="C73" i="1"/>
  <c r="D72" i="1"/>
  <c r="D7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9" i="1"/>
  <c r="I40" i="1"/>
  <c r="I41" i="1"/>
  <c r="I38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C715" i="1"/>
  <c r="C716" i="1"/>
  <c r="C717" i="1"/>
  <c r="C718" i="1"/>
  <c r="C719" i="1"/>
  <c r="D719" i="1" s="1"/>
  <c r="C720" i="1"/>
  <c r="C721" i="1"/>
  <c r="D721" i="1" s="1"/>
  <c r="C722" i="1"/>
  <c r="D722" i="1" s="1"/>
  <c r="C723" i="1"/>
  <c r="C724" i="1"/>
  <c r="C725" i="1"/>
  <c r="C726" i="1"/>
  <c r="C727" i="1"/>
  <c r="C728" i="1"/>
  <c r="C729" i="1"/>
  <c r="C730" i="1"/>
  <c r="D715" i="1"/>
  <c r="D716" i="1"/>
  <c r="D717" i="1"/>
  <c r="D718" i="1"/>
  <c r="D723" i="1"/>
  <c r="D724" i="1"/>
  <c r="D725" i="1"/>
  <c r="D726" i="1"/>
  <c r="D727" i="1"/>
  <c r="D728" i="1"/>
  <c r="D729" i="1"/>
  <c r="D730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C703" i="1"/>
  <c r="C704" i="1"/>
  <c r="C705" i="1"/>
  <c r="C706" i="1"/>
  <c r="D706" i="1" s="1"/>
  <c r="C707" i="1"/>
  <c r="D707" i="1" s="1"/>
  <c r="C708" i="1"/>
  <c r="D708" i="1" s="1"/>
  <c r="C709" i="1"/>
  <c r="D709" i="1" s="1"/>
  <c r="C710" i="1"/>
  <c r="D710" i="1" s="1"/>
  <c r="C711" i="1"/>
  <c r="D711" i="1" s="1"/>
  <c r="C712" i="1"/>
  <c r="C713" i="1"/>
  <c r="D713" i="1" s="1"/>
  <c r="C714" i="1"/>
  <c r="D703" i="1"/>
  <c r="D704" i="1"/>
  <c r="D705" i="1"/>
  <c r="D712" i="1"/>
  <c r="D714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C683" i="1"/>
  <c r="C684" i="1"/>
  <c r="C685" i="1"/>
  <c r="C686" i="1"/>
  <c r="C687" i="1"/>
  <c r="D687" i="1" s="1"/>
  <c r="C688" i="1"/>
  <c r="D688" i="1" s="1"/>
  <c r="C689" i="1"/>
  <c r="D689" i="1" s="1"/>
  <c r="C690" i="1"/>
  <c r="D690" i="1" s="1"/>
  <c r="C691" i="1"/>
  <c r="D691" i="1" s="1"/>
  <c r="C692" i="1"/>
  <c r="D692" i="1" s="1"/>
  <c r="C693" i="1"/>
  <c r="D693" i="1" s="1"/>
  <c r="C694" i="1"/>
  <c r="D694" i="1" s="1"/>
  <c r="C695" i="1"/>
  <c r="C696" i="1"/>
  <c r="C697" i="1"/>
  <c r="C698" i="1"/>
  <c r="C699" i="1"/>
  <c r="D699" i="1" s="1"/>
  <c r="C700" i="1"/>
  <c r="D700" i="1" s="1"/>
  <c r="C701" i="1"/>
  <c r="D701" i="1" s="1"/>
  <c r="C702" i="1"/>
  <c r="D702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C667" i="1"/>
  <c r="C668" i="1"/>
  <c r="C669" i="1"/>
  <c r="C670" i="1"/>
  <c r="C671" i="1"/>
  <c r="D671" i="1" s="1"/>
  <c r="C672" i="1"/>
  <c r="D672" i="1" s="1"/>
  <c r="C673" i="1"/>
  <c r="C674" i="1"/>
  <c r="D674" i="1" s="1"/>
  <c r="C675" i="1"/>
  <c r="D675" i="1" s="1"/>
  <c r="C676" i="1"/>
  <c r="D676" i="1" s="1"/>
  <c r="C677" i="1"/>
  <c r="D677" i="1" s="1"/>
  <c r="C678" i="1"/>
  <c r="D678" i="1" s="1"/>
  <c r="C679" i="1"/>
  <c r="D679" i="1" s="1"/>
  <c r="C680" i="1"/>
  <c r="D680" i="1" s="1"/>
  <c r="C681" i="1"/>
  <c r="D681" i="1" s="1"/>
  <c r="C682" i="1"/>
  <c r="D682" i="1" s="1"/>
  <c r="D667" i="1"/>
  <c r="D668" i="1"/>
  <c r="D669" i="1"/>
  <c r="D67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C651" i="1"/>
  <c r="D651" i="1" s="1"/>
  <c r="C652" i="1"/>
  <c r="D652" i="1" s="1"/>
  <c r="C653" i="1"/>
  <c r="C654" i="1"/>
  <c r="C655" i="1"/>
  <c r="D655" i="1" s="1"/>
  <c r="C656" i="1"/>
  <c r="D656" i="1" s="1"/>
  <c r="C657" i="1"/>
  <c r="D657" i="1" s="1"/>
  <c r="C658" i="1"/>
  <c r="D658" i="1" s="1"/>
  <c r="C659" i="1"/>
  <c r="D659" i="1" s="1"/>
  <c r="C660" i="1"/>
  <c r="D660" i="1" s="1"/>
  <c r="C661" i="1"/>
  <c r="D661" i="1" s="1"/>
  <c r="C662" i="1"/>
  <c r="D662" i="1" s="1"/>
  <c r="C663" i="1"/>
  <c r="D663" i="1" s="1"/>
  <c r="C664" i="1"/>
  <c r="D664" i="1" s="1"/>
  <c r="C665" i="1"/>
  <c r="C666" i="1"/>
  <c r="D653" i="1"/>
  <c r="D654" i="1"/>
  <c r="D665" i="1"/>
  <c r="D666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C639" i="1"/>
  <c r="D639" i="1" s="1"/>
  <c r="C640" i="1"/>
  <c r="D640" i="1" s="1"/>
  <c r="C641" i="1"/>
  <c r="D641" i="1" s="1"/>
  <c r="C642" i="1"/>
  <c r="D642" i="1" s="1"/>
  <c r="C643" i="1"/>
  <c r="D643" i="1" s="1"/>
  <c r="C644" i="1"/>
  <c r="D644" i="1" s="1"/>
  <c r="C645" i="1"/>
  <c r="D645" i="1" s="1"/>
  <c r="C646" i="1"/>
  <c r="C647" i="1"/>
  <c r="D647" i="1" s="1"/>
  <c r="C648" i="1"/>
  <c r="D648" i="1" s="1"/>
  <c r="C649" i="1"/>
  <c r="D649" i="1" s="1"/>
  <c r="C650" i="1"/>
  <c r="D650" i="1" s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C625" i="1"/>
  <c r="D625" i="1" s="1"/>
  <c r="C626" i="1"/>
  <c r="D626" i="1" s="1"/>
  <c r="C627" i="1"/>
  <c r="D627" i="1" s="1"/>
  <c r="C628" i="1"/>
  <c r="D628" i="1" s="1"/>
  <c r="C629" i="1"/>
  <c r="D629" i="1" s="1"/>
  <c r="C630" i="1"/>
  <c r="D630" i="1" s="1"/>
  <c r="C631" i="1"/>
  <c r="C632" i="1"/>
  <c r="D632" i="1" s="1"/>
  <c r="C633" i="1"/>
  <c r="D633" i="1" s="1"/>
  <c r="C634" i="1"/>
  <c r="C635" i="1"/>
  <c r="D635" i="1" s="1"/>
  <c r="C636" i="1"/>
  <c r="D636" i="1" s="1"/>
  <c r="C637" i="1"/>
  <c r="D637" i="1" s="1"/>
  <c r="C638" i="1"/>
  <c r="D638" i="1" s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C604" i="1"/>
  <c r="D604" i="1" s="1"/>
  <c r="C605" i="1"/>
  <c r="D605" i="1" s="1"/>
  <c r="C606" i="1"/>
  <c r="D606" i="1" s="1"/>
  <c r="C607" i="1"/>
  <c r="D607" i="1" s="1"/>
  <c r="C608" i="1"/>
  <c r="D608" i="1" s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C620" i="1"/>
  <c r="D620" i="1" s="1"/>
  <c r="C621" i="1"/>
  <c r="D621" i="1" s="1"/>
  <c r="C622" i="1"/>
  <c r="D622" i="1" s="1"/>
  <c r="C623" i="1"/>
  <c r="D623" i="1" s="1"/>
  <c r="C624" i="1"/>
  <c r="D624" i="1" s="1"/>
  <c r="A594" i="1"/>
  <c r="A595" i="1"/>
  <c r="A596" i="1"/>
  <c r="A597" i="1"/>
  <c r="A598" i="1"/>
  <c r="A599" i="1"/>
  <c r="A600" i="1"/>
  <c r="A601" i="1"/>
  <c r="A602" i="1"/>
  <c r="A603" i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C602" i="1"/>
  <c r="D602" i="1" s="1"/>
  <c r="C603" i="1"/>
  <c r="D603" i="1" s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D242" i="1" s="1"/>
  <c r="C243" i="1"/>
  <c r="D243" i="1" s="1"/>
  <c r="C244" i="1"/>
  <c r="D244" i="1" s="1"/>
  <c r="C245" i="1"/>
  <c r="D245" i="1" s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C252" i="1"/>
  <c r="D252" i="1" s="1"/>
  <c r="C253" i="1"/>
  <c r="D253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D192" i="1" s="1"/>
  <c r="C193" i="1"/>
  <c r="D193" i="1" s="1"/>
  <c r="C194" i="1"/>
  <c r="D194" i="1" s="1"/>
  <c r="C195" i="1"/>
  <c r="D195" i="1" s="1"/>
  <c r="C196" i="1"/>
  <c r="D196" i="1" s="1"/>
  <c r="C197" i="1"/>
  <c r="D197" i="1" s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C320" i="1"/>
  <c r="D320" i="1" s="1"/>
  <c r="C321" i="1"/>
  <c r="D321" i="1" s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216" i="1"/>
  <c r="D216" i="1" s="1"/>
  <c r="C217" i="1"/>
  <c r="D217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512" i="1"/>
  <c r="D512" i="1" s="1"/>
  <c r="C513" i="1"/>
  <c r="D513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106" i="1"/>
  <c r="D106" i="1" s="1"/>
  <c r="C107" i="1"/>
  <c r="D107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52" i="1"/>
  <c r="D152" i="1" s="1"/>
  <c r="C153" i="1"/>
  <c r="D153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22" i="1"/>
  <c r="D122" i="1" s="1"/>
  <c r="C123" i="1"/>
  <c r="D12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180" i="1"/>
  <c r="D180" i="1" s="1"/>
  <c r="C181" i="1"/>
  <c r="D181" i="1" s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22" i="1"/>
  <c r="D322" i="1" s="1"/>
  <c r="C323" i="1"/>
  <c r="D323" i="1" s="1"/>
  <c r="C324" i="1"/>
  <c r="D324" i="1" s="1"/>
  <c r="C325" i="1"/>
  <c r="D325" i="1" s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D348" i="1" s="1"/>
  <c r="C349" i="1"/>
  <c r="D349" i="1" s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D397" i="1" s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492" i="1"/>
  <c r="D492" i="1" s="1"/>
  <c r="C493" i="1"/>
  <c r="D493" i="1" s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D536" i="1" s="1"/>
  <c r="C537" i="1"/>
  <c r="D537" i="1" s="1"/>
  <c r="C538" i="1"/>
  <c r="D538" i="1" s="1"/>
  <c r="C539" i="1"/>
  <c r="D539" i="1" s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D547" i="1" s="1"/>
  <c r="C548" i="1"/>
  <c r="D548" i="1" s="1"/>
  <c r="C549" i="1"/>
  <c r="D549" i="1" s="1"/>
  <c r="C550" i="1"/>
  <c r="D550" i="1" s="1"/>
  <c r="C551" i="1"/>
  <c r="D551" i="1" s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C592" i="1"/>
  <c r="D592" i="1" s="1"/>
  <c r="C593" i="1"/>
  <c r="D593" i="1" s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C142" i="1"/>
  <c r="D142" i="1" s="1"/>
  <c r="C143" i="1"/>
  <c r="D143" i="1" s="1"/>
  <c r="D720" i="1" l="1"/>
  <c r="D698" i="1"/>
  <c r="D686" i="1"/>
  <c r="D697" i="1"/>
  <c r="D685" i="1"/>
  <c r="D696" i="1"/>
  <c r="D684" i="1"/>
  <c r="D695" i="1"/>
  <c r="D683" i="1"/>
  <c r="D673" i="1"/>
  <c r="D646" i="1"/>
  <c r="D631" i="1"/>
  <c r="D634" i="1"/>
  <c r="H2" i="1" a="1"/>
  <c r="E72" i="1" l="1"/>
  <c r="E73" i="1"/>
  <c r="E723" i="1"/>
  <c r="E724" i="1"/>
  <c r="E725" i="1"/>
  <c r="E726" i="1"/>
  <c r="E717" i="1"/>
  <c r="E719" i="1"/>
  <c r="E715" i="1"/>
  <c r="E721" i="1"/>
  <c r="E722" i="1"/>
  <c r="E727" i="1"/>
  <c r="E728" i="1"/>
  <c r="E729" i="1"/>
  <c r="E718" i="1"/>
  <c r="E730" i="1"/>
  <c r="E716" i="1"/>
  <c r="E720" i="1"/>
  <c r="E703" i="1"/>
  <c r="E704" i="1"/>
  <c r="E705" i="1"/>
  <c r="E712" i="1"/>
  <c r="E714" i="1"/>
  <c r="E711" i="1"/>
  <c r="E708" i="1"/>
  <c r="E706" i="1"/>
  <c r="E713" i="1"/>
  <c r="E707" i="1"/>
  <c r="E709" i="1"/>
  <c r="E710" i="1"/>
  <c r="E694" i="1"/>
  <c r="E687" i="1"/>
  <c r="E699" i="1"/>
  <c r="E688" i="1"/>
  <c r="E700" i="1"/>
  <c r="E689" i="1"/>
  <c r="E701" i="1"/>
  <c r="E690" i="1"/>
  <c r="E702" i="1"/>
  <c r="E691" i="1"/>
  <c r="E692" i="1"/>
  <c r="E693" i="1"/>
  <c r="E685" i="1"/>
  <c r="E683" i="1"/>
  <c r="E698" i="1"/>
  <c r="E697" i="1"/>
  <c r="E696" i="1"/>
  <c r="E695" i="1"/>
  <c r="E686" i="1"/>
  <c r="E684" i="1"/>
  <c r="E676" i="1"/>
  <c r="E675" i="1"/>
  <c r="E678" i="1"/>
  <c r="E677" i="1"/>
  <c r="E682" i="1"/>
  <c r="E671" i="1"/>
  <c r="E681" i="1"/>
  <c r="E680" i="1"/>
  <c r="E679" i="1"/>
  <c r="E673" i="1"/>
  <c r="E672" i="1"/>
  <c r="E674" i="1"/>
  <c r="E667" i="1"/>
  <c r="E668" i="1"/>
  <c r="E669" i="1"/>
  <c r="E670" i="1"/>
  <c r="E659" i="1"/>
  <c r="E662" i="1"/>
  <c r="E660" i="1"/>
  <c r="E661" i="1"/>
  <c r="E663" i="1"/>
  <c r="E654" i="1"/>
  <c r="E665" i="1"/>
  <c r="E664" i="1"/>
  <c r="E656" i="1"/>
  <c r="E655" i="1"/>
  <c r="E657" i="1"/>
  <c r="E658" i="1"/>
  <c r="E651" i="1"/>
  <c r="E652" i="1"/>
  <c r="E666" i="1"/>
  <c r="E653" i="1"/>
  <c r="E639" i="1"/>
  <c r="E640" i="1"/>
  <c r="E641" i="1"/>
  <c r="E642" i="1"/>
  <c r="E643" i="1"/>
  <c r="E644" i="1"/>
  <c r="E647" i="1"/>
  <c r="E648" i="1"/>
  <c r="E650" i="1"/>
  <c r="E646" i="1"/>
  <c r="E649" i="1"/>
  <c r="E645" i="1"/>
  <c r="E626" i="1"/>
  <c r="E635" i="1"/>
  <c r="E625" i="1"/>
  <c r="E638" i="1"/>
  <c r="E636" i="1"/>
  <c r="E637" i="1"/>
  <c r="E627" i="1"/>
  <c r="E628" i="1"/>
  <c r="E631" i="1"/>
  <c r="E632" i="1"/>
  <c r="E630" i="1"/>
  <c r="E633" i="1"/>
  <c r="E629" i="1"/>
  <c r="E634" i="1"/>
  <c r="E610" i="1"/>
  <c r="E622" i="1"/>
  <c r="E611" i="1"/>
  <c r="E623" i="1"/>
  <c r="E620" i="1"/>
  <c r="E608" i="1"/>
  <c r="E615" i="1"/>
  <c r="E616" i="1"/>
  <c r="E604" i="1"/>
  <c r="E621" i="1"/>
  <c r="E607" i="1"/>
  <c r="E609" i="1"/>
  <c r="E619" i="1"/>
  <c r="E605" i="1"/>
  <c r="E614" i="1"/>
  <c r="E606" i="1"/>
  <c r="E624" i="1"/>
  <c r="E618" i="1"/>
  <c r="E617" i="1"/>
  <c r="E612" i="1"/>
  <c r="E613" i="1"/>
  <c r="E598" i="1"/>
  <c r="E597" i="1"/>
  <c r="E599" i="1"/>
  <c r="E596" i="1"/>
  <c r="E595" i="1"/>
  <c r="E594" i="1"/>
  <c r="E601" i="1"/>
  <c r="E602" i="1"/>
  <c r="E603" i="1"/>
  <c r="E600" i="1"/>
  <c r="E492" i="1"/>
  <c r="E290" i="1"/>
  <c r="E183" i="1"/>
  <c r="E204" i="1"/>
  <c r="E143" i="1"/>
  <c r="E512" i="1"/>
  <c r="E186" i="1"/>
  <c r="E549" i="1"/>
  <c r="E417" i="1"/>
  <c r="E570" i="1"/>
  <c r="E256" i="1"/>
  <c r="E218" i="1"/>
  <c r="E575" i="1"/>
  <c r="E180" i="1"/>
  <c r="E544" i="1"/>
  <c r="E490" i="1"/>
  <c r="E36" i="1"/>
  <c r="E480" i="1"/>
  <c r="E116" i="1"/>
  <c r="E429" i="1"/>
  <c r="E232" i="1"/>
  <c r="E134" i="1"/>
  <c r="E168" i="1"/>
  <c r="E508" i="1"/>
  <c r="E85" i="1"/>
  <c r="E441" i="1"/>
  <c r="E455" i="1"/>
  <c r="E150" i="1"/>
  <c r="E364" i="1"/>
  <c r="E277" i="1"/>
  <c r="E383" i="1"/>
  <c r="E572" i="1"/>
  <c r="E464" i="1"/>
  <c r="E94" i="1"/>
  <c r="E394" i="1"/>
  <c r="E208" i="1"/>
  <c r="E565" i="1"/>
  <c r="E122" i="1"/>
  <c r="E545" i="1"/>
  <c r="E132" i="1"/>
  <c r="E496" i="1"/>
  <c r="E580" i="1"/>
  <c r="E397" i="1"/>
  <c r="E106" i="1"/>
  <c r="E148" i="1"/>
  <c r="E220" i="1"/>
  <c r="E348" i="1"/>
  <c r="E538" i="1"/>
  <c r="E444" i="1"/>
  <c r="E162" i="1"/>
  <c r="E184" i="1"/>
  <c r="E547" i="1"/>
  <c r="E110" i="1"/>
  <c r="E533" i="1"/>
  <c r="E74" i="1"/>
  <c r="E484" i="1"/>
  <c r="E48" i="1"/>
  <c r="E324" i="1"/>
  <c r="E37" i="1"/>
  <c r="E452" i="1"/>
  <c r="E303" i="1"/>
  <c r="E395" i="1"/>
  <c r="E373" i="1"/>
  <c r="E592" i="1"/>
  <c r="E138" i="1"/>
  <c r="E285" i="1"/>
  <c r="E535" i="1"/>
  <c r="E546" i="1"/>
  <c r="E521" i="1"/>
  <c r="E510" i="1"/>
  <c r="E472" i="1"/>
  <c r="E190" i="1"/>
  <c r="E406" i="1"/>
  <c r="E261" i="1"/>
  <c r="E550" i="1"/>
  <c r="E548" i="1"/>
  <c r="E68" i="1"/>
  <c r="E200" i="1"/>
  <c r="E259" i="1"/>
  <c r="E357" i="1"/>
  <c r="E114" i="1"/>
  <c r="E273" i="1"/>
  <c r="E439" i="1"/>
  <c r="E522" i="1"/>
  <c r="E402" i="1"/>
  <c r="E486" i="1"/>
  <c r="E353" i="1"/>
  <c r="E178" i="1"/>
  <c r="E124" i="1"/>
  <c r="E175" i="1"/>
  <c r="E525" i="1"/>
  <c r="E279" i="1"/>
  <c r="E165" i="1"/>
  <c r="E211" i="1"/>
  <c r="E161" i="1"/>
  <c r="E554" i="1"/>
  <c r="E585" i="1"/>
  <c r="E427" i="1"/>
  <c r="E498" i="1"/>
  <c r="E390" i="1"/>
  <c r="E426" i="1"/>
  <c r="E341" i="1"/>
  <c r="E166" i="1"/>
  <c r="E440" i="1"/>
  <c r="E299" i="1"/>
  <c r="E102" i="1"/>
  <c r="E491" i="1"/>
  <c r="E513" i="1"/>
  <c r="E581" i="1"/>
  <c r="E336" i="1"/>
  <c r="E137" i="1"/>
  <c r="E411" i="1"/>
  <c r="E515" i="1"/>
  <c r="E243" i="1"/>
  <c r="E415" i="1"/>
  <c r="E403" i="1"/>
  <c r="E378" i="1"/>
  <c r="E379" i="1"/>
  <c r="E329" i="1"/>
  <c r="E154" i="1"/>
  <c r="E578" i="1"/>
  <c r="E419" i="1"/>
  <c r="E476" i="1"/>
  <c r="E59" i="1"/>
  <c r="E242" i="1"/>
  <c r="E319" i="1"/>
  <c r="E361" i="1"/>
  <c r="E442" i="1"/>
  <c r="E33" i="1"/>
  <c r="E171" i="1"/>
  <c r="E229" i="1"/>
  <c r="E295" i="1"/>
  <c r="E453" i="1"/>
  <c r="E151" i="1"/>
  <c r="E127" i="1"/>
  <c r="E323" i="1"/>
  <c r="E456" i="1"/>
  <c r="E70" i="1"/>
  <c r="E327" i="1"/>
  <c r="E454" i="1"/>
  <c r="E540" i="1"/>
  <c r="E573" i="1"/>
  <c r="E288" i="1"/>
  <c r="E113" i="1"/>
  <c r="E375" i="1"/>
  <c r="E495" i="1"/>
  <c r="E207" i="1"/>
  <c r="E284" i="1"/>
  <c r="E367" i="1"/>
  <c r="E264" i="1"/>
  <c r="E355" i="1"/>
  <c r="E203" i="1"/>
  <c r="E142" i="1"/>
  <c r="E199" i="1"/>
  <c r="E104" i="1"/>
  <c r="E129" i="1"/>
  <c r="E234" i="1"/>
  <c r="E286" i="1"/>
  <c r="E265" i="1"/>
  <c r="E96" i="1"/>
  <c r="E260" i="1"/>
  <c r="E230" i="1"/>
  <c r="E192" i="1"/>
  <c r="E131" i="1"/>
  <c r="E128" i="1"/>
  <c r="E140" i="1"/>
  <c r="E537" i="1"/>
  <c r="E97" i="1"/>
  <c r="E514" i="1"/>
  <c r="E177" i="1"/>
  <c r="E478" i="1"/>
  <c r="E298" i="1"/>
  <c r="E420" i="1"/>
  <c r="E506" i="1"/>
  <c r="E258" i="1"/>
  <c r="E91" i="1"/>
  <c r="E163" i="1"/>
  <c r="E423" i="1"/>
  <c r="E195" i="1"/>
  <c r="E272" i="1"/>
  <c r="E331" i="1"/>
  <c r="E252" i="1"/>
  <c r="E343" i="1"/>
  <c r="E191" i="1"/>
  <c r="E130" i="1"/>
  <c r="E29" i="1" s="1"/>
  <c r="E78" i="1"/>
  <c r="E526" i="1"/>
  <c r="E262" i="1"/>
  <c r="E281" i="1"/>
  <c r="E330" i="1"/>
  <c r="E587" i="1"/>
  <c r="E296" i="1"/>
  <c r="E297" i="1"/>
  <c r="E531" i="1"/>
  <c r="E93" i="1"/>
  <c r="E164" i="1"/>
  <c r="E393" i="1"/>
  <c r="E481" i="1"/>
  <c r="E338" i="1"/>
  <c r="E61" i="1"/>
  <c r="E507" i="1"/>
  <c r="E189" i="1"/>
  <c r="E350" i="1"/>
  <c r="E387" i="1"/>
  <c r="E196" i="1"/>
  <c r="E530" i="1"/>
  <c r="E370" i="1"/>
  <c r="E316" i="1"/>
  <c r="E293" i="1"/>
  <c r="E574" i="1"/>
  <c r="E52" i="1"/>
  <c r="E342" i="1"/>
  <c r="E53" i="1"/>
  <c r="E76" i="1"/>
  <c r="E332" i="1"/>
  <c r="E43" i="1"/>
  <c r="E136" i="1"/>
  <c r="E115" i="1"/>
  <c r="E503" i="1"/>
  <c r="E409" i="1"/>
  <c r="E517" i="1"/>
  <c r="E396" i="1"/>
  <c r="E201" i="1"/>
  <c r="E103" i="1"/>
  <c r="E224" i="1"/>
  <c r="E477" i="1"/>
  <c r="E141" i="1"/>
  <c r="E46" i="1"/>
  <c r="E529" i="1"/>
  <c r="E271" i="1"/>
  <c r="E328" i="1"/>
  <c r="E305" i="1"/>
  <c r="E586" i="1"/>
  <c r="E64" i="1"/>
  <c r="E354" i="1"/>
  <c r="E65" i="1"/>
  <c r="E88" i="1"/>
  <c r="E392" i="1"/>
  <c r="E55" i="1"/>
  <c r="E160" i="1"/>
  <c r="E569" i="1"/>
  <c r="E139" i="1"/>
  <c r="E555" i="1"/>
  <c r="E428" i="1"/>
  <c r="E35" i="1"/>
  <c r="E483" i="1"/>
  <c r="E384" i="1"/>
  <c r="E95" i="1"/>
  <c r="E176" i="1"/>
  <c r="E270" i="1"/>
  <c r="E541" i="1"/>
  <c r="E325" i="1"/>
  <c r="E468" i="1"/>
  <c r="E300" i="1"/>
  <c r="E317" i="1"/>
  <c r="E157" i="1"/>
  <c r="E366" i="1"/>
  <c r="E100" i="1"/>
  <c r="E404" i="1"/>
  <c r="E77" i="1"/>
  <c r="E335" i="1"/>
  <c r="E376" i="1"/>
  <c r="E337" i="1"/>
  <c r="E358" i="1"/>
  <c r="E479" i="1"/>
  <c r="E32" i="1"/>
  <c r="E135" i="1"/>
  <c r="E499" i="1"/>
  <c r="E205" i="1"/>
  <c r="E485" i="1"/>
  <c r="E240" i="1"/>
  <c r="E40" i="1"/>
  <c r="E253" i="1"/>
  <c r="E460" i="1"/>
  <c r="E179" i="1"/>
  <c r="E304" i="1"/>
  <c r="E62" i="1"/>
  <c r="E471" i="1"/>
  <c r="E562" i="1"/>
  <c r="E400" i="1"/>
  <c r="E71" i="1"/>
  <c r="E69" i="1"/>
  <c r="E432" i="1"/>
  <c r="E291" i="1"/>
  <c r="E362" i="1"/>
  <c r="E385" i="1"/>
  <c r="E126" i="1"/>
  <c r="E539" i="1"/>
  <c r="E359" i="1"/>
  <c r="E34" i="1"/>
  <c r="E287" i="1"/>
  <c r="E314" i="1"/>
  <c r="E313" i="1"/>
  <c r="E312" i="1"/>
  <c r="E459" i="1"/>
  <c r="E101" i="1"/>
  <c r="E487" i="1"/>
  <c r="E266" i="1"/>
  <c r="E42" i="1"/>
  <c r="E169" i="1"/>
  <c r="E473" i="1"/>
  <c r="E228" i="1"/>
  <c r="E241" i="1"/>
  <c r="E424" i="1"/>
  <c r="E167" i="1"/>
  <c r="E292" i="1"/>
  <c r="E561" i="1"/>
  <c r="E79" i="1"/>
  <c r="E469" i="1"/>
  <c r="E488" i="1"/>
  <c r="E582" i="1"/>
  <c r="E399" i="1"/>
  <c r="E223" i="1"/>
  <c r="E278" i="1"/>
  <c r="E83" i="1"/>
  <c r="E82" i="1"/>
  <c r="E519" i="1"/>
  <c r="E289" i="1"/>
  <c r="E590" i="1"/>
  <c r="E185" i="1"/>
  <c r="E187" i="1"/>
  <c r="E210" i="1"/>
  <c r="E443" i="1"/>
  <c r="E309" i="1"/>
  <c r="E89" i="1"/>
  <c r="E475" i="1"/>
  <c r="E254" i="1"/>
  <c r="E75" i="1"/>
  <c r="E437" i="1"/>
  <c r="E216" i="1"/>
  <c r="E576" i="1"/>
  <c r="E217" i="1"/>
  <c r="E412" i="1"/>
  <c r="E155" i="1"/>
  <c r="E280" i="1"/>
  <c r="E197" i="1"/>
  <c r="E245" i="1"/>
  <c r="E225" i="1"/>
  <c r="E250" i="1"/>
  <c r="E50" i="1"/>
  <c r="E579" i="1"/>
  <c r="E527" i="1"/>
  <c r="E339" i="1"/>
  <c r="E326" i="1"/>
  <c r="E584" i="1"/>
  <c r="E249" i="1"/>
  <c r="E45" i="1"/>
  <c r="E149" i="1"/>
  <c r="E489" i="1"/>
  <c r="E322" i="1"/>
  <c r="E275" i="1"/>
  <c r="E81" i="1"/>
  <c r="E212" i="1"/>
  <c r="E571" i="1"/>
  <c r="E233" i="1"/>
  <c r="E467" i="1"/>
  <c r="E518" i="1"/>
  <c r="E92" i="1"/>
  <c r="E372" i="1"/>
  <c r="E333" i="1"/>
  <c r="E159" i="1"/>
  <c r="E380" i="1"/>
  <c r="E158" i="1"/>
  <c r="E588" i="1"/>
  <c r="E133" i="1"/>
  <c r="E509" i="1"/>
  <c r="E318" i="1"/>
  <c r="E98" i="1"/>
  <c r="E474" i="1"/>
  <c r="E145" i="1"/>
  <c r="E448" i="1"/>
  <c r="E51" i="1"/>
  <c r="E238" i="1"/>
  <c r="E38" i="1"/>
  <c r="E152" i="1"/>
  <c r="E563" i="1"/>
  <c r="E269" i="1"/>
  <c r="E543" i="1"/>
  <c r="E174" i="1"/>
  <c r="E566" i="1"/>
  <c r="E105" i="1"/>
  <c r="E363" i="1"/>
  <c r="E276" i="1"/>
  <c r="E247" i="1"/>
  <c r="E49" i="1"/>
  <c r="E188" i="1"/>
  <c r="E553" i="1"/>
  <c r="E552" i="1"/>
  <c r="E209" i="1"/>
  <c r="E431" i="1"/>
  <c r="E482" i="1"/>
  <c r="E591" i="1"/>
  <c r="E310" i="1"/>
  <c r="E321" i="1"/>
  <c r="E147" i="1"/>
  <c r="E559" i="1"/>
  <c r="E368" i="1"/>
  <c r="E146" i="1"/>
  <c r="E564" i="1"/>
  <c r="E87" i="1"/>
  <c r="E497" i="1"/>
  <c r="E306" i="1"/>
  <c r="E86" i="1"/>
  <c r="E450" i="1"/>
  <c r="E121" i="1"/>
  <c r="E436" i="1"/>
  <c r="E239" i="1"/>
  <c r="E39" i="1"/>
  <c r="E202" i="1"/>
  <c r="E381" i="1"/>
  <c r="E458" i="1"/>
  <c r="E80" i="1"/>
  <c r="E237" i="1"/>
  <c r="E494" i="1"/>
  <c r="E107" i="1"/>
  <c r="E244" i="1"/>
  <c r="E346" i="1"/>
  <c r="E434" i="1"/>
  <c r="E504" i="1"/>
  <c r="E567" i="1"/>
  <c r="E213" i="1"/>
  <c r="E349" i="1"/>
  <c r="E274" i="1"/>
  <c r="E447" i="1"/>
  <c r="E502" i="1"/>
  <c r="E445" i="1"/>
  <c r="E516" i="1"/>
  <c r="E501" i="1"/>
  <c r="E58" i="1"/>
  <c r="E408" i="1"/>
  <c r="E112" i="1"/>
  <c r="E231" i="1"/>
  <c r="E523" i="1"/>
  <c r="E356" i="1"/>
  <c r="E206" i="1"/>
  <c r="E307" i="1"/>
  <c r="E41" i="1"/>
  <c r="E461" i="1"/>
  <c r="E294" i="1"/>
  <c r="E120" i="1"/>
  <c r="E558" i="1"/>
  <c r="E283" i="1"/>
  <c r="E401" i="1"/>
  <c r="E227" i="1"/>
  <c r="E118" i="1"/>
  <c r="E405" i="1"/>
  <c r="E198" i="1"/>
  <c r="E528" i="1"/>
  <c r="E416" i="1"/>
  <c r="E524" i="1"/>
  <c r="E268" i="1"/>
  <c r="E542" i="1"/>
  <c r="E248" i="1"/>
  <c r="E369" i="1"/>
  <c r="E398" i="1"/>
  <c r="E386" i="1"/>
  <c r="E173" i="1"/>
  <c r="E315" i="1"/>
  <c r="E246" i="1"/>
  <c r="E466" i="1"/>
  <c r="E374" i="1"/>
  <c r="E500" i="1"/>
  <c r="E257" i="1"/>
  <c r="E593" i="1"/>
  <c r="E60" i="1"/>
  <c r="E235" i="1"/>
  <c r="E465" i="1"/>
  <c r="E388" i="1"/>
  <c r="E56" i="1"/>
  <c r="E219" i="1"/>
  <c r="E67" i="1"/>
  <c r="E511" i="1"/>
  <c r="E344" i="1"/>
  <c r="E170" i="1"/>
  <c r="E449" i="1"/>
  <c r="E108" i="1"/>
  <c r="E534" i="1"/>
  <c r="E556" i="1"/>
  <c r="E365" i="1"/>
  <c r="E215" i="1"/>
  <c r="E63" i="1"/>
  <c r="E435" i="1"/>
  <c r="E301" i="1"/>
  <c r="E493" i="1"/>
  <c r="E117" i="1"/>
  <c r="E347" i="1"/>
  <c r="E47" i="1"/>
  <c r="E568" i="1"/>
  <c r="E433" i="1"/>
  <c r="E407" i="1"/>
  <c r="E371" i="1"/>
  <c r="E382" i="1"/>
  <c r="E560" i="1"/>
  <c r="E214" i="1"/>
  <c r="E340" i="1"/>
  <c r="E251" i="1"/>
  <c r="E377" i="1"/>
  <c r="E520" i="1"/>
  <c r="E181" i="1"/>
  <c r="E391" i="1"/>
  <c r="E144" i="1"/>
  <c r="E413" i="1"/>
  <c r="E557" i="1"/>
  <c r="E99" i="1"/>
  <c r="E438" i="1"/>
  <c r="E54" i="1"/>
  <c r="E182" i="1"/>
  <c r="E308" i="1"/>
  <c r="E451" i="1"/>
  <c r="E577" i="1"/>
  <c r="E111" i="1"/>
  <c r="E255" i="1"/>
  <c r="E334" i="1"/>
  <c r="E551" i="1"/>
  <c r="E446" i="1"/>
  <c r="E236" i="1"/>
  <c r="E57" i="1"/>
  <c r="E311" i="1"/>
  <c r="E536" i="1"/>
  <c r="E410" i="1"/>
  <c r="E430" i="1"/>
  <c r="E360" i="1"/>
  <c r="E125" i="1"/>
  <c r="E172" i="1"/>
  <c r="E221" i="1"/>
  <c r="E421" i="1"/>
  <c r="E44" i="1"/>
  <c r="E457" i="1"/>
  <c r="E418" i="1"/>
  <c r="E583" i="1"/>
  <c r="E222" i="1"/>
  <c r="E422" i="1"/>
  <c r="E505" i="1"/>
  <c r="E345" i="1"/>
  <c r="E302" i="1"/>
  <c r="E153" i="1"/>
  <c r="E470" i="1"/>
  <c r="E84" i="1"/>
  <c r="E226" i="1"/>
  <c r="E352" i="1"/>
  <c r="E119" i="1"/>
  <c r="E263" i="1"/>
  <c r="E389" i="1"/>
  <c r="E532" i="1"/>
  <c r="E193" i="1"/>
  <c r="E414" i="1"/>
  <c r="E156" i="1"/>
  <c r="E282" i="1"/>
  <c r="E425" i="1"/>
  <c r="E109" i="1"/>
  <c r="E462" i="1"/>
  <c r="E66" i="1"/>
  <c r="E194" i="1"/>
  <c r="E320" i="1"/>
  <c r="E463" i="1"/>
  <c r="E589" i="1"/>
  <c r="E123" i="1"/>
  <c r="E267" i="1"/>
  <c r="E90" i="1"/>
  <c r="E351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<sst xmlns="http://schemas.openxmlformats.org/spreadsheetml/2006/main" count="838" uniqueCount="738">
  <si>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</si>
  <si>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</si>
  <si>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</si>
  <si>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</si>
  <si>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</si>
  <si>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</si>
  <si>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</si>
  <si>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</si>
  <si>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</si>
  <si>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</si>
  <si>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</si>
  <si>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</si>
  <si>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</si>
  <si>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</si>
  <si>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</si>
  <si>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</si>
  <si>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</si>
  <si>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</si>
  <si>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</si>
  <si>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</si>
  <si>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</si>
  <si>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</si>
  <si>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</si>
  <si>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</si>
  <si>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</si>
  <si>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</si>
  <si>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</si>
  <si>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</si>
  <si>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</si>
  <si>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</si>
  <si>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</si>
  <si>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</si>
  <si>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</si>
  <si>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</si>
  <si>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</si>
  <si>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</si>
  <si>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</si>
  <si>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</si>
  <si>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</si>
  <si>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</si>
  <si>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</si>
  <si>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</si>
  <si>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</si>
  <si>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</si>
  <si>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</si>
  <si>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</si>
  <si>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</si>
  <si>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</si>
  <si>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</si>
  <si>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</si>
  <si>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</si>
  <si>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</si>
  <si>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</si>
  <si>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</si>
  <si>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</si>
  <si>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</si>
  <si>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</si>
  <si>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</si>
  <si>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</si>
  <si>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</si>
  <si>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</si>
  <si>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</si>
  <si>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</si>
  <si>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</si>
  <si>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</si>
  <si>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</si>
  <si>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</si>
  <si>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</si>
  <si>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</si>
  <si>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</si>
  <si>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</si>
  <si>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</si>
  <si>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</si>
  <si>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</si>
  <si>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</si>
  <si>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</si>
  <si>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</si>
  <si>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</si>
  <si>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</si>
  <si>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</si>
  <si>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</si>
  <si>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</si>
  <si>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</si>
  <si>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</si>
  <si>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</si>
  <si>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</si>
  <si>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</si>
  <si>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</si>
  <si>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</si>
  <si>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</si>
  <si>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</si>
  <si>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</si>
  <si>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</si>
  <si>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</si>
  <si>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</si>
  <si>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</si>
  <si>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</si>
  <si>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</si>
  <si>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</si>
  <si>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</si>
  <si>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</si>
  <si>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</si>
  <si>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</si>
  <si>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</si>
  <si>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</si>
  <si>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</si>
  <si>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</si>
  <si>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</si>
  <si>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</si>
  <si>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</si>
  <si>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</si>
  <si>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</si>
  <si>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</si>
  <si>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</si>
  <si>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</si>
  <si>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</si>
  <si>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</si>
  <si>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</si>
  <si>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</si>
  <si>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</si>
  <si>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</si>
  <si>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</si>
  <si>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</si>
  <si>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</si>
  <si>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</si>
  <si>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</si>
  <si>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</si>
  <si>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</si>
  <si>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</si>
  <si>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</si>
  <si>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</si>
  <si>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</si>
  <si>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</si>
  <si>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</si>
  <si>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</si>
  <si>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</si>
  <si>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</si>
  <si>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</si>
  <si>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</si>
  <si>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</si>
  <si>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</si>
  <si>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</si>
  <si>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</si>
  <si>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</si>
  <si>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</si>
  <si>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</si>
  <si>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</si>
  <si>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</si>
  <si>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</si>
  <si>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</si>
  <si>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</si>
  <si>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</si>
  <si>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</si>
  <si>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</si>
  <si>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</si>
  <si>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</si>
  <si>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</si>
  <si>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</si>
  <si>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</si>
  <si>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</si>
  <si>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</si>
  <si>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</si>
  <si>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</si>
  <si>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</si>
  <si>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</si>
  <si>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</si>
  <si>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</si>
  <si>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</si>
  <si>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</si>
  <si>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</si>
  <si>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</si>
  <si>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</si>
  <si>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</si>
  <si>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</si>
  <si>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</si>
  <si>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</si>
  <si>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</si>
  <si>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</si>
  <si>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</si>
  <si>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</si>
  <si>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</si>
  <si>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</si>
  <si>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</si>
  <si>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</si>
  <si>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</si>
  <si>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</si>
  <si>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</si>
  <si>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</si>
  <si>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</si>
  <si>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</si>
  <si>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</si>
  <si>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</si>
  <si>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</si>
  <si>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</si>
  <si>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</si>
  <si>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</si>
  <si>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</si>
  <si>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</si>
  <si>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</si>
  <si>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</si>
  <si>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</si>
  <si>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</si>
  <si>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</si>
  <si>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</si>
  <si>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</si>
  <si>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</si>
  <si>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</si>
  <si>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</si>
  <si>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</si>
  <si>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</si>
  <si>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</si>
  <si>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</si>
  <si>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</si>
  <si>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</si>
  <si>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</si>
  <si>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</si>
  <si>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</si>
  <si>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</si>
  <si>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</si>
  <si>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</si>
  <si>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</si>
  <si>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</si>
  <si>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</si>
  <si>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</si>
  <si>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</si>
  <si>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</si>
  <si>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</si>
  <si>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</si>
  <si>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</si>
  <si>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</si>
  <si>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</si>
  <si>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</si>
  <si>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</si>
  <si>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</si>
  <si>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</si>
  <si>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</si>
  <si>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</si>
  <si>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</si>
  <si>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</si>
  <si>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</si>
  <si>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</si>
  <si>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</si>
  <si>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</si>
  <si>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</si>
  <si>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</si>
  <si>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</si>
  <si>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</si>
  <si>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</si>
  <si>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</si>
  <si>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</si>
  <si>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</si>
  <si>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</si>
  <si>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</si>
  <si>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</si>
  <si>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</si>
  <si>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</si>
  <si>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</si>
  <si>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</si>
  <si>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</si>
  <si>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</si>
  <si>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</si>
  <si>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</si>
  <si>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</si>
  <si>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</si>
  <si>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</si>
  <si>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</si>
  <si>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</si>
  <si>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</si>
  <si>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</si>
  <si>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</si>
  <si>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</si>
  <si>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</si>
  <si>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</si>
  <si>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</si>
  <si>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</si>
  <si>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</si>
  <si>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</si>
  <si>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</si>
  <si>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</si>
  <si>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</si>
  <si>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</si>
  <si>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</si>
  <si>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</si>
  <si>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</si>
  <si>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</si>
  <si>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</si>
  <si>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</si>
  <si>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</si>
  <si>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</si>
  <si>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</si>
  <si>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</si>
  <si>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</si>
  <si>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</si>
  <si>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</si>
  <si>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</si>
  <si>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</si>
  <si>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</si>
  <si>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</si>
  <si>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</si>
  <si>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</si>
  <si>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</si>
  <si>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</si>
  <si>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</si>
  <si>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</si>
  <si>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</si>
  <si>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</si>
  <si>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</si>
  <si>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</si>
  <si>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</si>
  <si>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</si>
  <si>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</si>
  <si>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</si>
  <si>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</si>
  <si>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</si>
  <si>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</si>
  <si>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</si>
  <si>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</si>
  <si>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</si>
  <si>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</si>
  <si>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</si>
  <si>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</si>
  <si>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</si>
  <si>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</si>
  <si>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</si>
  <si>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</si>
  <si>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</si>
  <si>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</si>
  <si>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</si>
  <si>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</si>
  <si>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</si>
  <si>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</si>
  <si>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</si>
  <si>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</si>
  <si>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</si>
  <si>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</si>
  <si>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</si>
  <si>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</si>
  <si>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</si>
  <si>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</si>
  <si>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</si>
  <si>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</si>
  <si>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</si>
  <si>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</si>
  <si>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</si>
  <si>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</si>
  <si>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</si>
  <si>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</si>
  <si>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</si>
  <si>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</si>
  <si>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</si>
  <si>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</si>
  <si>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</si>
  <si>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</si>
  <si>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</si>
  <si>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</si>
  <si>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</si>
  <si>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</si>
  <si>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</si>
  <si>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</si>
  <si>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</si>
  <si>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</si>
  <si>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</si>
  <si>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</si>
  <si>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</si>
  <si>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</si>
  <si>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</si>
  <si>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</si>
  <si>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</si>
  <si>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</si>
  <si>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</si>
  <si>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</si>
  <si>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</si>
  <si>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</si>
  <si>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</si>
  <si>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</si>
  <si>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</si>
  <si>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</si>
  <si>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</si>
  <si>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</si>
  <si>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</si>
  <si>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</si>
  <si>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</si>
  <si>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</si>
  <si>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</si>
  <si>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</si>
  <si>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</si>
  <si>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</si>
  <si>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</si>
  <si>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</si>
  <si>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</si>
  <si>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</si>
  <si>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</si>
  <si>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</si>
  <si>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</si>
  <si>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</si>
  <si>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</si>
  <si>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</si>
  <si>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</si>
  <si>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</si>
  <si>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</si>
  <si>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</si>
  <si>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</si>
  <si>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</si>
  <si>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</si>
  <si>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</si>
  <si>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</si>
  <si>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</si>
  <si>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</si>
  <si>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</si>
  <si>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</si>
  <si>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</si>
  <si>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</si>
  <si>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</si>
  <si>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</si>
  <si>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</si>
  <si>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</si>
  <si>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</si>
  <si>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</si>
  <si>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</si>
  <si>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</si>
  <si>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</si>
  <si>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</si>
  <si>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</si>
  <si>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</si>
  <si>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</si>
  <si>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</si>
  <si>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</si>
  <si>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</si>
  <si>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</si>
  <si>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</si>
  <si>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</si>
  <si>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</si>
  <si>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</si>
  <si>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</si>
  <si>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</si>
  <si>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</si>
  <si>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</si>
  <si>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</si>
  <si>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</si>
  <si>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</si>
  <si>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</si>
  <si>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</si>
  <si>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</si>
  <si>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</si>
  <si>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</si>
  <si>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</si>
  <si>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</si>
  <si>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</si>
  <si>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</si>
  <si>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</si>
  <si>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</si>
  <si>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</si>
  <si>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</si>
  <si>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</si>
  <si>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</si>
  <si>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</si>
  <si>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</si>
  <si>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</si>
  <si>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</si>
  <si>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</si>
  <si>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</si>
  <si>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</si>
  <si>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</si>
  <si>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</si>
  <si>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</si>
  <si>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</si>
  <si>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</si>
  <si>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</si>
  <si>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europe/italy/us-sassuolo-calcio</t>
  </si>
  <si>
    <t>europe/france/fc-lorient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</si>
  <si>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</si>
  <si>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</si>
  <si>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</si>
  <si>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</si>
  <si>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</si>
  <si>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</si>
  <si>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</si>
  <si>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</si>
  <si>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</si>
  <si>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</si>
  <si>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</si>
  <si>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</si>
  <si>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</si>
  <si>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</si>
  <si>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</si>
  <si>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</si>
  <si>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</si>
  <si>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</si>
  <si>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</si>
  <si>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</si>
  <si>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</si>
  <si>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</si>
  <si>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</si>
  <si>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</si>
  <si>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</si>
  <si>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</si>
  <si>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</si>
  <si>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</si>
  <si>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</si>
  <si>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</si>
  <si>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</si>
  <si>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</si>
  <si>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</si>
  <si>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</si>
  <si>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</si>
  <si>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</si>
  <si>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</si>
  <si>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</si>
  <si>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</si>
  <si>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</si>
  <si>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</si>
  <si>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</si>
  <si>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</si>
  <si>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</si>
  <si>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</si>
  <si>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</si>
  <si>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</si>
  <si>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</si>
  <si>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</si>
  <si>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</si>
  <si>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</si>
  <si>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</si>
  <si>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</si>
  <si>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</si>
  <si>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</si>
  <si>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</si>
  <si>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</si>
  <si>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</si>
  <si>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</si>
  <si>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</si>
  <si>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</si>
  <si>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</si>
  <si>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</si>
  <si>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</si>
  <si>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</si>
  <si>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</si>
  <si>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</si>
  <si>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</si>
  <si>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</si>
  <si>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</si>
  <si>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</si>
  <si>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</si>
  <si>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</si>
  <si>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</si>
  <si>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</si>
  <si>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</si>
  <si>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</si>
  <si>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</si>
  <si>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</si>
  <si>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</si>
  <si>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</si>
  <si>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</si>
  <si>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</si>
  <si>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</si>
  <si>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</si>
  <si>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</si>
  <si>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</si>
  <si>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</si>
  <si>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</si>
  <si>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</si>
  <si>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</si>
  <si>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</si>
  <si>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</si>
  <si>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</si>
  <si>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</si>
  <si>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</si>
  <si>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</si>
  <si>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</si>
  <si>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</si>
  <si>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</si>
  <si>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</si>
  <si>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</si>
  <si>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</si>
  <si>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</si>
  <si>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</si>
  <si>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</si>
  <si>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</si>
  <si>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</si>
  <si>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</si>
  <si>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</si>
  <si>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</si>
  <si>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</si>
  <si>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</si>
  <si>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</si>
  <si>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</si>
  <si>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</si>
  <si>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</si>
  <si>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</si>
  <si>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</si>
  <si>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</si>
  <si>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</si>
  <si>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</si>
  <si>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</si>
  <si>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</si>
  <si>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</si>
  <si>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</si>
  <si>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</si>
  <si>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</si>
  <si>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</si>
  <si>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</si>
  <si>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</si>
  <si>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</si>
  <si>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</si>
  <si>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</si>
  <si>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</si>
  <si>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</si>
  <si>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</si>
  <si>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</si>
  <si>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</si>
  <si>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</si>
  <si>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</si>
  <si>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</si>
  <si>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</si>
  <si>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</si>
  <si>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</si>
  <si>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</si>
  <si>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</si>
  <si>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</si>
  <si>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</si>
  <si>
    <t>europe/france/le-mans-fc</t>
  </si>
  <si>
    <t>europe/france/troyes-ac</t>
  </si>
  <si>
    <t>europe/germany/sv-elversberg</t>
  </si>
  <si>
    <t>europe/germany/sc-paderborn</t>
  </si>
  <si>
    <t>europe/germany/schalke-04</t>
  </si>
  <si>
    <t>europe/greece/iraklis-fc</t>
  </si>
  <si>
    <t>europe/greece/kalamata-fc</t>
  </si>
  <si>
    <t>europe/italy/frosinone-calcio</t>
  </si>
  <si>
    <t>europe/italy/ac-monza</t>
  </si>
  <si>
    <t>europe/italy/venezia-fc</t>
  </si>
  <si>
    <t>europe/cyprus/aek-larnaca-fc</t>
  </si>
  <si>
    <t>europe/cyprus/ael-limassol</t>
  </si>
  <si>
    <t>europe/cyprus/anorthosis-famagusta-fc</t>
  </si>
  <si>
    <t>europe/cyprus/apoel-fc</t>
  </si>
  <si>
    <t>europe/cyprus/apollon-limassol</t>
  </si>
  <si>
    <t>europe/cyprus/aris-limassol-fc</t>
  </si>
  <si>
    <t>europe/cyprus/karmiotissa-fc</t>
  </si>
  <si>
    <t>europe/cyprus/krasava-eny-ypsonas-fc</t>
  </si>
  <si>
    <t>europe/cyprus/nea-salamis-famagusta-fc</t>
  </si>
  <si>
    <t>europe/cyprus/olympiakos-nicosia</t>
  </si>
  <si>
    <t>europe/cyprus/ac-omonia</t>
  </si>
  <si>
    <t>europe/cyprus/pac-omonia-29m</t>
  </si>
  <si>
    <t>europe/cyprus/omonia-aradippou</t>
  </si>
  <si>
    <t>europe/cyprus/pafos-fc</t>
  </si>
  <si>
    <t>europe/hungary/debrecen</t>
  </si>
  <si>
    <t>europe/hungary/ferencvaros</t>
  </si>
  <si>
    <t>europe/hungary/gyori-eto-fc</t>
  </si>
  <si>
    <t>europe/hungary/budapest-honved-fc</t>
  </si>
  <si>
    <t>europe/hungary/kisvarda-fc</t>
  </si>
  <si>
    <t>europe/hungary/mtk-budapest-fc</t>
  </si>
  <si>
    <t>europe/hungary/nyiregyhaza-spartacus-fc</t>
  </si>
  <si>
    <t>europe/hungary/paksi-fc</t>
  </si>
  <si>
    <t>europe/hungary/puskas-akademia-fc</t>
  </si>
  <si>
    <t>europe/hungary/ujpest-fc</t>
  </si>
  <si>
    <t>europe/hungary/vasas-sc</t>
  </si>
  <si>
    <t>europe/hungary/zalaegerszeg-te</t>
  </si>
  <si>
    <t>n-s-america/uruguay/albion-fc</t>
  </si>
  <si>
    <t>n-s-america/uruguay/boston-river</t>
  </si>
  <si>
    <t>n-s-america/uruguay/central-espanol</t>
  </si>
  <si>
    <t>n-s-america/uruguay/club-atletico-cerro</t>
  </si>
  <si>
    <t>n-s-america/uruguay/cerro-largo-fc</t>
  </si>
  <si>
    <t>n-s-america/uruguay/danubio-fc</t>
  </si>
  <si>
    <t>n-s-america/uruguay/defensor-sporting</t>
  </si>
  <si>
    <t>n-s-america/uruguay/juventud-de-las-piedras</t>
  </si>
  <si>
    <t>n-s-america/uruguay/liverpool-fc-montevideo</t>
  </si>
  <si>
    <t>n-s-america/uruguay/deportivo-maldonado</t>
  </si>
  <si>
    <t>n-s-america/uruguay/montevideo-city-torque</t>
  </si>
  <si>
    <t>n-s-america/uruguay/club-nacional-de-football</t>
  </si>
  <si>
    <t>n-s-america/uruguay/penarol</t>
  </si>
  <si>
    <t>n-s-america/uruguay/club-atletico-progreso</t>
  </si>
  <si>
    <t>n-s-america/uruguay/racing-club-de-montevideo</t>
  </si>
  <si>
    <t>n-s-america/uruguay/montevideo-wanderers-fc</t>
  </si>
  <si>
    <t>europe/ukraine/fsc-bukovyna-chernivtsi</t>
  </si>
  <si>
    <t>europe/ukraine/fc-chornomorets-odessa</t>
  </si>
  <si>
    <t>europe/ukraine/fc-dynamo-kyiv</t>
  </si>
  <si>
    <t>europe/ukraine/fc-epitsentr-kamianets-podilskyi</t>
  </si>
  <si>
    <t>europe/ukraine/fc-kharkiv</t>
  </si>
  <si>
    <t>europe/ukraine/fc-karpaty-lviv</t>
  </si>
  <si>
    <t>europe/ukraine/fc-kolos-kovalivka</t>
  </si>
  <si>
    <t>europe/ukraine/fc-kryvbas-kryvyi-rih</t>
  </si>
  <si>
    <t>europe/ukraine/fc-kudrivka</t>
  </si>
  <si>
    <t>europe/ukraine/fc-livyi-bereh-kyiv</t>
  </si>
  <si>
    <t>europe/ukraine/fc-lnz-cherkasy</t>
  </si>
  <si>
    <t>europe/ukraine/fc-obolon-kyiv</t>
  </si>
  <si>
    <t>europe/ukraine/fc-polissya-zhytomyr</t>
  </si>
  <si>
    <t>europe/ukraine/fc-shakhtar-donetsk</t>
  </si>
  <si>
    <t>europe/ukraine/nk-veres-rivne</t>
  </si>
  <si>
    <t>europe/ukraine/fc-zorya-luhansk</t>
  </si>
  <si>
    <t>rest-of-the-world/japan/avispa-fukuoka</t>
  </si>
  <si>
    <t>rest-of-the-world/japan/cerezo-osaka</t>
  </si>
  <si>
    <t>rest-of-the-world/japan/fagiano-okayama</t>
  </si>
  <si>
    <t>rest-of-the-world/japan/gamba-osaka</t>
  </si>
  <si>
    <t>rest-of-the-world/japan/sanfreece-hiroshima</t>
  </si>
  <si>
    <t>rest-of-the-world/japan/jef-united-chiba</t>
  </si>
  <si>
    <t>rest-of-the-world/japan/kashima-antlers</t>
  </si>
  <si>
    <t>rest-of-the-world/japan/kashiwa-reysol</t>
  </si>
  <si>
    <t>rest-of-the-world/japan/kawasaki-frontale</t>
  </si>
  <si>
    <t>rest-of-the-world/japan/vissel-kobe</t>
  </si>
  <si>
    <t>rest-of-the-world/japan/kyoto-sanga-fc</t>
  </si>
  <si>
    <t>rest-of-the-world/japan/fc-machida-zelvia</t>
  </si>
  <si>
    <t>rest-of-the-world/japan/mito-hollyhock</t>
  </si>
  <si>
    <t>rest-of-the-world/japan/nagoya-grampus</t>
  </si>
  <si>
    <t>rest-of-the-world/japan/shimizu-s-pulse</t>
  </si>
  <si>
    <t>rest-of-the-world/japan/fc-tokyo</t>
  </si>
  <si>
    <t>rest-of-the-world/japan/tokyo-verdy</t>
  </si>
  <si>
    <t>rest-of-the-world/japan/urawa-red-diamonds</t>
  </si>
  <si>
    <t>rest-of-the-world/japan/v-varen-nagasaki</t>
  </si>
  <si>
    <t>rest-of-the-world/japan/yokohama-f-marinos</t>
  </si>
  <si>
    <t>rest-of-the-world/south-korea/fc-anyang</t>
  </si>
  <si>
    <t>rest-of-the-world/south-korea/bucheon-fc-1995</t>
  </si>
  <si>
    <t>rest-of-the-world/south-korea/daejeon-hana-citizen</t>
  </si>
  <si>
    <t>rest-of-the-world/south-korea/gangwon-fc</t>
  </si>
  <si>
    <t>rest-of-the-world/south-korea/gimcheon-sangmu-fc</t>
  </si>
  <si>
    <t>rest-of-the-world/south-korea/gwangju-fc</t>
  </si>
  <si>
    <t>rest-of-the-world/south-korea/incheon-united</t>
  </si>
  <si>
    <t>rest-of-the-world/south-korea/jeju-sk-fc</t>
  </si>
  <si>
    <t>rest-of-the-world/south-korea/jeonbuk-hyundai-motors</t>
  </si>
  <si>
    <t>rest-of-the-world/south-korea/pohang-steelers</t>
  </si>
  <si>
    <t>rest-of-the-world/south-korea/fc-seoul</t>
  </si>
  <si>
    <t>rest-of-the-world/south-korea/ulsan-hd-fc</t>
  </si>
  <si>
    <t>rest-of-the-world/china/beijing-guoan-fc</t>
  </si>
  <si>
    <t>rest-of-the-world/china/chengdu-rongcheng-fc</t>
  </si>
  <si>
    <t>rest-of-the-world/china/chongqing-tonglianglong-fc</t>
  </si>
  <si>
    <t>rest-of-the-world/china/dalian-yingbo-fc</t>
  </si>
  <si>
    <t>rest-of-the-world/china/henan-fc</t>
  </si>
  <si>
    <t>rest-of-the-world/china/liaoning-tieren-fc</t>
  </si>
  <si>
    <t>rest-of-the-world/china/qingdao-hainiu-fc</t>
  </si>
  <si>
    <t>rest-of-the-world/china/qingdao-west-coast-fc</t>
  </si>
  <si>
    <t>rest-of-the-world/china/shandong-taishan-fc</t>
  </si>
  <si>
    <t>rest-of-the-world/china/shanghai-port-fc</t>
  </si>
  <si>
    <t>rest-of-the-world/china/shanghai-shenhua-fc</t>
  </si>
  <si>
    <t>rest-of-the-world/china/shenzhen-peng-city-fc</t>
  </si>
  <si>
    <t>rest-of-the-world/china/tianjin-jinmen-tiger-fc</t>
  </si>
  <si>
    <t>rest-of-the-world/china/wuhan-three-towns-fc</t>
  </si>
  <si>
    <t>rest-of-the-world/china/yunnan-yukun-fc</t>
  </si>
  <si>
    <t>rest-of-the-world/china/zhejiang-professional-fc</t>
  </si>
  <si>
    <t>germany_b</t>
  </si>
  <si>
    <t>europe/belgium/sv-zulte-waregem</t>
  </si>
  <si>
    <t>europe/belgium/kvc-westerlo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</si>
</sst>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730" totalsRowShown="0" headerRowDxfId="5">
  <autoFilter ref="A1:E730" xr:uid="{1329FF03-B366-468C-915B-7B9006981626}"/>
  <sortState xmlns:xlrd2="http://schemas.microsoft.com/office/spreadsheetml/2017/richdata2" ref="A2:C593">
    <sortCondition ref="C1:C593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730"/>
  <sheetViews>
    <sheetView tabSelected="1" workbookViewId="0">
      <selection activeCell="J3" sqref="J3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577</v>
      </c>
      <c r="E1" s="1" t="s">
        <v>524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41">_xlfn.UNIQUE(Tabla1[PAIS])</f>
        <v>argentina</v>
      </c>
      <c r="I2" s="9" t="str">
        <f t="shared" ref="I2:I37" ca="1" si="0">IF(J2&gt;TODAY(),"","X")</f>
        <v>X</v>
      </c>
      <c r="J2" s="10">
        <v>46227</v>
      </c>
      <c r="K2" s="9" t="s">
        <v>525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t="shared" ca="1" si="0"/>
        <v/>
      </c>
      <c r="J3" s="10">
        <v>46313</v>
      </c>
      <c r="K3" s="9" t="s">
        <v>525</v>
      </c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ca="1" si="0"/>
        <v>X</v>
      </c>
      <c r="J4" s="10">
        <v>46237</v>
      </c>
      <c r="K4" s="9" t="s">
        <v>525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525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525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525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525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525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525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525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525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539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525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525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540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525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46258</v>
      </c>
      <c r="K16" s="9" t="s">
        <v>525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 t="s">
        <v>525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46257</v>
      </c>
      <c r="K18" s="9" t="s">
        <v>525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46259</v>
      </c>
      <c r="K19" s="9" t="s">
        <v>525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525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525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525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525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525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525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525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525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525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525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525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46230</v>
      </c>
      <c r="K31" s="9" t="s">
        <v>525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502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525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503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525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504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525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505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 t="str">
        <v>cyprus</v>
      </c>
      <c r="I35" s="9" t="str">
        <f t="shared" ca="1" si="0"/>
        <v>X</v>
      </c>
      <c r="J35" s="10">
        <v>46284</v>
      </c>
      <c r="K35" s="9" t="s">
        <v>525</v>
      </c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506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  <c r="H36" s="9" t="str">
        <v>hungary</v>
      </c>
      <c r="I36" s="9" t="str">
        <f t="shared" ca="1" si="0"/>
        <v>X</v>
      </c>
      <c r="J36" s="10">
        <v>46284</v>
      </c>
      <c r="K36" s="9" t="s">
        <v>525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507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  <c r="H37" s="9" t="str">
        <v>uruguay</v>
      </c>
      <c r="I37" s="9" t="str">
        <f t="shared" ca="1" si="0"/>
        <v>X</v>
      </c>
      <c r="J37" s="10">
        <v>46284</v>
      </c>
      <c r="K37" s="9" t="s">
        <v>525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508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  <c r="H38" s="9" t="str">
        <v>ukraine</v>
      </c>
      <c r="I38" s="9" t="str">
        <f t="shared" ref="I38:I41" ca="1" si="1">IF(J38&gt;TODAY(),"","X")</f>
        <v>X</v>
      </c>
      <c r="J38" s="11">
        <v>46299</v>
      </c>
      <c r="K38" s="9" t="s">
        <v>525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509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  <c r="H39" s="9" t="str">
        <v>japan</v>
      </c>
      <c r="I39" s="9" t="str">
        <f t="shared" ca="1" si="1"/>
        <v>X</v>
      </c>
      <c r="J39" s="11">
        <v>46299</v>
      </c>
      <c r="K39" s="9" t="s">
        <v>525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510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  <c r="H40" s="9" t="str">
        <v>south-korea</v>
      </c>
      <c r="I40" s="9" t="str">
        <f t="shared" ca="1" si="1"/>
        <v>X</v>
      </c>
      <c r="J40" s="11">
        <v>46299</v>
      </c>
      <c r="K40" s="9" t="s">
        <v>525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511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  <c r="H41" s="9" t="str">
        <v>china</v>
      </c>
      <c r="I41" s="9" t="str">
        <f t="shared" ca="1" si="1"/>
        <v>X</v>
      </c>
      <c r="J41" s="11">
        <v>46299</v>
      </c>
      <c r="K41" s="9" t="s">
        <v>525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512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513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580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603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604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605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s="12" t="str">
        <f>MID(Tabla1[[#This Row],[ENLACE]],FIND("~",SUBSTITUTE(Tabla1[[#This Row],[ENLACE]],"/","~",2))+1,LEN(Tabla1[[#This Row],[ENLACE]]))</f>
        <v>sv-zulte-waregem</v>
      </c>
      <c r="B72" s="3" t="s">
        <v>736</v>
      </c>
      <c r="C72" s="12" t="str">
        <f>_xlfn.TEXTBEFORE(_xlfn.TEXTAFTER(Tabla1[[#This Row],[ENLACE]],"/",1),"/")</f>
        <v>belgium</v>
      </c>
      <c r="D72" s="12" t="str">
        <f>Tabla1[[#This Row],[PAIS]]</f>
        <v>belgium</v>
      </c>
      <c r="E72" s="13" t="str">
        <f ca="1">IF(VLOOKUP(Tabla1[[#This Row],[PAIS]],$H$2:$I$34,2)="x","SI","NO")</f>
        <v>SI</v>
      </c>
    </row>
    <row r="73" spans="1:5" x14ac:dyDescent="0.3">
      <c r="A73" s="12" t="str">
        <f>MID(Tabla1[[#This Row],[ENLACE]],FIND("~",SUBSTITUTE(Tabla1[[#This Row],[ENLACE]],"/","~",2))+1,LEN(Tabla1[[#This Row],[ENLACE]]))</f>
        <v>kvc-westerlo</v>
      </c>
      <c r="B73" s="3" t="s">
        <v>737</v>
      </c>
      <c r="C73" s="12" t="str">
        <f>_xlfn.TEXTBEFORE(_xlfn.TEXTAFTER(Tabla1[[#This Row],[ENLACE]],"/",1),"/")</f>
        <v>belgium</v>
      </c>
      <c r="D73" s="12" t="str">
        <f>Tabla1[[#This Row],[PAIS]]</f>
        <v>belgium</v>
      </c>
      <c r="E73" s="13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club-athletico-paranaense</v>
      </c>
      <c r="B74" s="4" t="s">
        <v>529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clube-atletico-mineiro</v>
      </c>
      <c r="B75" s="3" t="s">
        <v>102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esporte-clube-bahia</v>
      </c>
      <c r="B76" s="4" t="s">
        <v>103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botafogo-de-futebol-e-regatas</v>
      </c>
      <c r="B77" s="3" t="s">
        <v>104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red-bull-bragantino</v>
      </c>
      <c r="B78" s="4" t="s">
        <v>105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associacao-chapecoense-de-futebol</v>
      </c>
      <c r="B79" s="3" t="s">
        <v>530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sport-club-corinthians-paulista</v>
      </c>
      <c r="B80" s="4" t="s">
        <v>106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coritiba-football-club</v>
      </c>
      <c r="B81" s="3" t="s">
        <v>531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cruzeiro-esporte-clube</v>
      </c>
      <c r="B82" s="4" t="s">
        <v>107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clube-de-regatas-do-flamengo</v>
      </c>
      <c r="B83" s="3" t="s">
        <v>108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fluminense-fc</v>
      </c>
      <c r="B84" s="4" t="s">
        <v>109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gremio-football-porto-alagrense</v>
      </c>
      <c r="B85" s="3" t="s">
        <v>110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sport-club-internacional</v>
      </c>
      <c r="B86" s="4" t="s">
        <v>111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mirassol-fc</v>
      </c>
      <c r="B87" s="3" t="s">
        <v>112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sociedade-esportiva-palmeiras</v>
      </c>
      <c r="B88" s="4" t="s">
        <v>113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clube-do-remo</v>
      </c>
      <c r="B89" s="3" t="s">
        <v>532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santos-fc</v>
      </c>
      <c r="B90" s="4" t="s">
        <v>114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sao-paulo-fc</v>
      </c>
      <c r="B91" s="3" t="s">
        <v>115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cr-vasco-da-gama</v>
      </c>
      <c r="B92" s="4" t="s">
        <v>116</v>
      </c>
      <c r="C92" t="str">
        <f>_xlfn.TEXTBEFORE(_xlfn.TEXTAFTER(Tabla1[[#This Row],[ENLACE]],"/",1),"/")</f>
        <v>brazil</v>
      </c>
      <c r="D92" t="str">
        <f>Tabla1[[#This Row],[PAIS]]</f>
        <v>brazil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esporte-clube-vitoria</v>
      </c>
      <c r="B93" s="3" t="s">
        <v>117</v>
      </c>
      <c r="C93" t="str">
        <f>_xlfn.TEXTBEFORE(_xlfn.TEXTAFTER(Tabla1[[#This Row],[ENLACE]],"/",1),"/")</f>
        <v>brazil</v>
      </c>
      <c r="D93" t="str">
        <f>Tabla1[[#This Row],[PAIS]]</f>
        <v>brazil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arda-kardzhali</v>
      </c>
      <c r="B94" s="4" t="s">
        <v>118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botev-plovdiv</v>
      </c>
      <c r="B95" s="3" t="s">
        <v>119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botev-vratsa</v>
      </c>
      <c r="B96" s="4" t="s">
        <v>120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cherno-more</v>
      </c>
      <c r="B97" s="3" t="s">
        <v>121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fc-cska-1948-sofia</v>
      </c>
      <c r="B98" s="4" t="s">
        <v>122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cska-sofia</v>
      </c>
      <c r="B99" s="3" t="s">
        <v>123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fc-dunav-ruse</v>
      </c>
      <c r="B100" s="4" t="s">
        <v>581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levski-sofia</v>
      </c>
      <c r="B101" s="3" t="s">
        <v>124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lokomotiv-plovdiv</v>
      </c>
      <c r="B102" s="4" t="s">
        <v>125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fc-lokomotiv-1929-sofia</v>
      </c>
      <c r="B103" s="3" t="s">
        <v>126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ludogorets</v>
      </c>
      <c r="B104" s="4" t="s">
        <v>127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128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129</v>
      </c>
      <c r="C106" t="str">
        <f>_xlfn.TEXTBEFORE(_xlfn.TEXTAFTER(Tabla1[[#This Row],[ENLACE]],"/",1),"/")</f>
        <v>bulgaria</v>
      </c>
      <c r="D106" t="str">
        <f>Tabla1[[#This Row],[PAIS]]</f>
        <v>bulgaria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130</v>
      </c>
      <c r="C107" t="str">
        <f>_xlfn.TEXTBEFORE(_xlfn.TEXTAFTER(Tabla1[[#This Row],[ENLACE]],"/",1),"/")</f>
        <v>bulgaria</v>
      </c>
      <c r="D107" t="str">
        <f>Tabla1[[#This Row],[PAIS]]</f>
        <v>bulgaria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168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cd-cobresal</v>
      </c>
      <c r="B109" s="3" t="s">
        <v>169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colo-colo</v>
      </c>
      <c r="B110" s="4" t="s">
        <v>170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171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533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172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173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174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175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176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177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178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179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180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181</v>
      </c>
      <c r="C122" t="str">
        <f>_xlfn.TEXTBEFORE(_xlfn.TEXTAFTER(Tabla1[[#This Row],[ENLACE]],"/",1),"/")</f>
        <v>chile</v>
      </c>
      <c r="D122" t="str">
        <f>Tabla1[[#This Row],[PAIS]]</f>
        <v>chile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534</v>
      </c>
      <c r="C123" t="str">
        <f>_xlfn.TEXTBEFORE(_xlfn.TEXTAFTER(Tabla1[[#This Row],[ENLACE]],"/",1),"/")</f>
        <v>chile</v>
      </c>
      <c r="D123" t="str">
        <f>Tabla1[[#This Row],[PAIS]]</f>
        <v>chile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526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527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528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t="str">
        <f>Tabla1[[#This Row],[PAIS]]</f>
        <v>colombia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t="str">
        <f>Tabla1[[#This Row],[PAIS]]</f>
        <v>colombia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159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gorica</v>
      </c>
      <c r="B145" s="3" t="s">
        <v>160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161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istra-1961</v>
      </c>
      <c r="B147" s="3" t="s">
        <v>162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163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osijek</v>
      </c>
      <c r="B149" s="3" t="s">
        <v>164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rijeka</v>
      </c>
      <c r="B150" s="4" t="s">
        <v>165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nk-rudes</v>
      </c>
      <c r="B151" s="3" t="s">
        <v>582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slaven-belupo</v>
      </c>
      <c r="B152" s="4" t="s">
        <v>166</v>
      </c>
      <c r="C152" t="str">
        <f>_xlfn.TEXTBEFORE(_xlfn.TEXTAFTER(Tabla1[[#This Row],[ENLACE]],"/",1),"/")</f>
        <v>croatia</v>
      </c>
      <c r="D152" t="str">
        <f>Tabla1[[#This Row],[PAIS]]</f>
        <v>croatia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varazdin</v>
      </c>
      <c r="B153" s="3" t="s">
        <v>167</v>
      </c>
      <c r="C153" t="str">
        <f>_xlfn.TEXTBEFORE(_xlfn.TEXTAFTER(Tabla1[[#This Row],[ENLACE]],"/",1),"/")</f>
        <v>croatia</v>
      </c>
      <c r="D153" t="str">
        <f>Tabla1[[#This Row],[PAIS]]</f>
        <v>croatia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sk-artis-brno</v>
      </c>
      <c r="B154" s="4" t="s">
        <v>583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bohemians-1905</v>
      </c>
      <c r="B155" s="3" t="s">
        <v>182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fc-zbrojovka-brno</v>
      </c>
      <c r="B156" s="2" t="s">
        <v>584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fc-hradec-kralove</v>
      </c>
      <c r="B157" s="5" t="s">
        <v>183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fk-jablonec</v>
      </c>
      <c r="B158" s="2" t="s">
        <v>184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185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186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187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fk-pardubice</v>
      </c>
      <c r="B162" s="2" t="s">
        <v>188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189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190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191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fc-slovacko</v>
      </c>
      <c r="B166" s="2" t="s">
        <v>192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193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fk-teplice</v>
      </c>
      <c r="B168" s="2" t="s">
        <v>194</v>
      </c>
      <c r="C168" t="str">
        <f>_xlfn.TEXTBEFORE(_xlfn.TEXTAFTER(Tabla1[[#This Row],[ENLACE]],"/",1),"/")</f>
        <v>czech-republic</v>
      </c>
      <c r="D168" t="str">
        <f>Tabla1[[#This Row],[PAIS]]</f>
        <v>czech-republic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195</v>
      </c>
      <c r="C169" t="str">
        <f>_xlfn.TEXTBEFORE(_xlfn.TEXTAFTER(Tabla1[[#This Row],[ENLACE]],"/",1),"/")</f>
        <v>czech-republic</v>
      </c>
      <c r="D169" t="str">
        <f>Tabla1[[#This Row],[PAIS]]</f>
        <v>czech-republic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aarhus</v>
      </c>
      <c r="B170" s="2" t="s">
        <v>196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brondby</v>
      </c>
      <c r="B171" s="5" t="s">
        <v>197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198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ac-horsens</v>
      </c>
      <c r="B173" s="5" t="s">
        <v>585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lyngby-bk</v>
      </c>
      <c r="B174" s="2" t="s">
        <v>586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fc-midtjylland</v>
      </c>
      <c r="B175" s="5" t="s">
        <v>199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fc-nordsjaelland</v>
      </c>
      <c r="B176" s="2" t="s">
        <v>200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odense-boldklub</v>
      </c>
      <c r="B177" s="5" t="s">
        <v>201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randers-fc</v>
      </c>
      <c r="B178" s="2" t="s">
        <v>202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silkeborg-if</v>
      </c>
      <c r="B179" s="5" t="s">
        <v>203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sonderjyske</v>
      </c>
      <c r="B180" s="2" t="s">
        <v>204</v>
      </c>
      <c r="C180" t="str">
        <f>_xlfn.TEXTBEFORE(_xlfn.TEXTAFTER(Tabla1[[#This Row],[ENLACE]],"/",1),"/")</f>
        <v>denmark</v>
      </c>
      <c r="D180" t="str">
        <f>Tabla1[[#This Row],[PAIS]]</f>
        <v>denmark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viborg-ff</v>
      </c>
      <c r="B181" s="5" t="s">
        <v>205</v>
      </c>
      <c r="C181" t="str">
        <f>_xlfn.TEXTBEFORE(_xlfn.TEXTAFTER(Tabla1[[#This Row],[ENLACE]],"/",1),"/")</f>
        <v>denmark</v>
      </c>
      <c r="D181" t="str">
        <f>Tabla1[[#This Row],[PAIS]]</f>
        <v>denmark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sd-aucas</v>
      </c>
      <c r="B182" s="5" t="s">
        <v>486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barcelona-sc</v>
      </c>
      <c r="B183" s="5" t="s">
        <v>487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delfin-sc</v>
      </c>
      <c r="B184" s="5" t="s">
        <v>488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cd-cuenca</v>
      </c>
      <c r="B185" s="5" t="s">
        <v>489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cs-emelec</v>
      </c>
      <c r="B186" s="5" t="s">
        <v>490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537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491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ldu-quito</v>
      </c>
      <c r="B189" s="5" t="s">
        <v>492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leones-fc</v>
      </c>
      <c r="B190" s="5" t="s">
        <v>538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libertad-fc</v>
      </c>
      <c r="B191" s="5" t="s">
        <v>493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csd-macara</v>
      </c>
      <c r="B192" s="5" t="s">
        <v>494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manta-fc</v>
      </c>
      <c r="B193" s="5" t="s">
        <v>495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496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orense-sc</v>
      </c>
      <c r="B195" s="5" t="s">
        <v>497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498</v>
      </c>
      <c r="C196" t="str">
        <f>_xlfn.TEXTBEFORE(_xlfn.TEXTAFTER(Tabla1[[#This Row],[ENLACE]],"/",1),"/")</f>
        <v>ecuador</v>
      </c>
      <c r="D196" t="str">
        <f>Tabla1[[#This Row],[PAIS]]</f>
        <v>ecuador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499</v>
      </c>
      <c r="C197" t="str">
        <f>_xlfn.TEXTBEFORE(_xlfn.TEXTAFTER(Tabla1[[#This Row],[ENLACE]],"/",1),"/")</f>
        <v>ecuador</v>
      </c>
      <c r="D197" t="str">
        <f>Tabla1[[#This Row],[PAIS]]</f>
        <v>ecuador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chelsea-fc</v>
      </c>
      <c r="B203" s="5" t="s">
        <v>26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coventry-city-fc</v>
      </c>
      <c r="B204" s="2" t="s">
        <v>210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hull-city-fc</v>
      </c>
      <c r="B208" s="2" t="s">
        <v>212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ipswich-town-fc</v>
      </c>
      <c r="B209" s="5" t="s">
        <v>213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leeds-united-fc</v>
      </c>
      <c r="B210" s="2" t="s">
        <v>30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liverpool-fc</v>
      </c>
      <c r="B211" s="5" t="s">
        <v>31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manchester-city-fc</v>
      </c>
      <c r="B212" s="2" t="s">
        <v>32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manchester-united-fc</v>
      </c>
      <c r="B213" s="5" t="s">
        <v>33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newcastle-united-fc</v>
      </c>
      <c r="B214" s="2" t="s">
        <v>34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nottingham-forest-fc</v>
      </c>
      <c r="B215" s="5" t="s">
        <v>35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sunderland-afc</v>
      </c>
      <c r="B216" s="2" t="s">
        <v>36</v>
      </c>
      <c r="C216" t="str">
        <f>_xlfn.TEXTBEFORE(_xlfn.TEXTAFTER(Tabla1[[#This Row],[ENLACE]],"/",1),"/")</f>
        <v>england</v>
      </c>
      <c r="D216" t="str">
        <f>Tabla1[[#This Row],[PAIS]]</f>
        <v>england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tottenham-hotspur-fc</v>
      </c>
      <c r="B217" s="5" t="s">
        <v>37</v>
      </c>
      <c r="C217" t="str">
        <f>_xlfn.TEXTBEFORE(_xlfn.TEXTAFTER(Tabla1[[#This Row],[ENLACE]],"/",1),"/")</f>
        <v>england</v>
      </c>
      <c r="D217" t="str">
        <f>Tabla1[[#This Row],[PAIS]]</f>
        <v>england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206</v>
      </c>
      <c r="C218" t="str">
        <f>_xlfn.TEXTBEFORE(_xlfn.TEXTAFTER(Tabla1[[#This Row],[ENLACE]],"/",1),"/")</f>
        <v>england</v>
      </c>
      <c r="D218" t="s">
        <v>578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207</v>
      </c>
      <c r="C219" t="str">
        <f>_xlfn.TEXTBEFORE(_xlfn.TEXTAFTER(Tabla1[[#This Row],[ENLACE]],"/",1),"/")</f>
        <v>england</v>
      </c>
      <c r="D219" t="s">
        <v>578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bolton-wanderers-fc</v>
      </c>
      <c r="B220" s="2" t="s">
        <v>606</v>
      </c>
      <c r="C220" t="str">
        <f>_xlfn.TEXTBEFORE(_xlfn.TEXTAFTER(Tabla1[[#This Row],[ENLACE]],"/",1),"/")</f>
        <v>england</v>
      </c>
      <c r="D220" t="s">
        <v>578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bristol-city-fc</v>
      </c>
      <c r="B221" s="5" t="s">
        <v>208</v>
      </c>
      <c r="C221" t="str">
        <f>_xlfn.TEXTBEFORE(_xlfn.TEXTAFTER(Tabla1[[#This Row],[ENLACE]],"/",1),"/")</f>
        <v>england</v>
      </c>
      <c r="D221" t="s">
        <v>578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burnley-fc</v>
      </c>
      <c r="B222" s="2" t="s">
        <v>25</v>
      </c>
      <c r="C222" t="str">
        <f>_xlfn.TEXTBEFORE(_xlfn.TEXTAFTER(Tabla1[[#This Row],[ENLACE]],"/",1),"/")</f>
        <v>england</v>
      </c>
      <c r="D222" t="s">
        <v>578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cardiff-city-fc</v>
      </c>
      <c r="B223" s="5" t="s">
        <v>607</v>
      </c>
      <c r="C223" t="str">
        <f>_xlfn.TEXTBEFORE(_xlfn.TEXTAFTER(Tabla1[[#This Row],[ENLACE]],"/",1),"/")</f>
        <v>england</v>
      </c>
      <c r="D223" t="s">
        <v>578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charlton-athletic-fc</v>
      </c>
      <c r="B224" s="2" t="s">
        <v>209</v>
      </c>
      <c r="C224" t="str">
        <f>_xlfn.TEXTBEFORE(_xlfn.TEXTAFTER(Tabla1[[#This Row],[ENLACE]],"/",1),"/")</f>
        <v>england</v>
      </c>
      <c r="D224" t="s">
        <v>578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derby-county-fc</v>
      </c>
      <c r="B225" s="5" t="s">
        <v>211</v>
      </c>
      <c r="C225" t="str">
        <f>_xlfn.TEXTBEFORE(_xlfn.TEXTAFTER(Tabla1[[#This Row],[ENLACE]],"/",1),"/")</f>
        <v>england</v>
      </c>
      <c r="D225" t="s">
        <v>578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lincoln-city-fc</v>
      </c>
      <c r="B226" s="2" t="s">
        <v>608</v>
      </c>
      <c r="C226" t="str">
        <f>_xlfn.TEXTBEFORE(_xlfn.TEXTAFTER(Tabla1[[#This Row],[ENLACE]],"/",1),"/")</f>
        <v>england</v>
      </c>
      <c r="D226" t="s">
        <v>578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214</v>
      </c>
      <c r="C227" t="str">
        <f>_xlfn.TEXTBEFORE(_xlfn.TEXTAFTER(Tabla1[[#This Row],[ENLACE]],"/",1),"/")</f>
        <v>england</v>
      </c>
      <c r="D227" t="s">
        <v>578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millwall-fc</v>
      </c>
      <c r="B228" s="2" t="s">
        <v>215</v>
      </c>
      <c r="C228" t="str">
        <f>_xlfn.TEXTBEFORE(_xlfn.TEXTAFTER(Tabla1[[#This Row],[ENLACE]],"/",1),"/")</f>
        <v>england</v>
      </c>
      <c r="D228" t="s">
        <v>578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216</v>
      </c>
      <c r="C229" t="str">
        <f>_xlfn.TEXTBEFORE(_xlfn.TEXTAFTER(Tabla1[[#This Row],[ENLACE]],"/",1),"/")</f>
        <v>england</v>
      </c>
      <c r="D229" t="s">
        <v>578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portsmouth-fc</v>
      </c>
      <c r="B230" s="2" t="s">
        <v>217</v>
      </c>
      <c r="C230" t="str">
        <f>_xlfn.TEXTBEFORE(_xlfn.TEXTAFTER(Tabla1[[#This Row],[ENLACE]],"/",1),"/")</f>
        <v>england</v>
      </c>
      <c r="D230" t="s">
        <v>578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preston-north-end-fc</v>
      </c>
      <c r="B231" s="5" t="s">
        <v>218</v>
      </c>
      <c r="C231" t="str">
        <f>_xlfn.TEXTBEFORE(_xlfn.TEXTAFTER(Tabla1[[#This Row],[ENLACE]],"/",1),"/")</f>
        <v>england</v>
      </c>
      <c r="D231" t="s">
        <v>578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queens-park-rangers-fc</v>
      </c>
      <c r="B232" s="2" t="s">
        <v>219</v>
      </c>
      <c r="C232" t="str">
        <f>_xlfn.TEXTBEFORE(_xlfn.TEXTAFTER(Tabla1[[#This Row],[ENLACE]],"/",1),"/")</f>
        <v>england</v>
      </c>
      <c r="D232" t="s">
        <v>578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sheffield-united-fc</v>
      </c>
      <c r="B233" s="5" t="s">
        <v>220</v>
      </c>
      <c r="C233" t="str">
        <f>_xlfn.TEXTBEFORE(_xlfn.TEXTAFTER(Tabla1[[#This Row],[ENLACE]],"/",1),"/")</f>
        <v>england</v>
      </c>
      <c r="D233" t="s">
        <v>578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southampton-fc</v>
      </c>
      <c r="B234" s="2" t="s">
        <v>221</v>
      </c>
      <c r="C234" t="str">
        <f>_xlfn.TEXTBEFORE(_xlfn.TEXTAFTER(Tabla1[[#This Row],[ENLACE]],"/",1),"/")</f>
        <v>england</v>
      </c>
      <c r="D234" t="s">
        <v>578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stoke-city-fc</v>
      </c>
      <c r="B235" s="5" t="s">
        <v>222</v>
      </c>
      <c r="C235" t="str">
        <f>_xlfn.TEXTBEFORE(_xlfn.TEXTAFTER(Tabla1[[#This Row],[ENLACE]],"/",1),"/")</f>
        <v>england</v>
      </c>
      <c r="D235" t="s">
        <v>578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swansea-city-afc</v>
      </c>
      <c r="B236" s="2" t="s">
        <v>223</v>
      </c>
      <c r="C236" t="str">
        <f>_xlfn.TEXTBEFORE(_xlfn.TEXTAFTER(Tabla1[[#This Row],[ENLACE]],"/",1),"/")</f>
        <v>england</v>
      </c>
      <c r="D236" t="s">
        <v>578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watford-fc</v>
      </c>
      <c r="B237" s="5" t="s">
        <v>224</v>
      </c>
      <c r="C237" t="str">
        <f>_xlfn.TEXTBEFORE(_xlfn.TEXTAFTER(Tabla1[[#This Row],[ENLACE]],"/",1),"/")</f>
        <v>england</v>
      </c>
      <c r="D237" t="s">
        <v>578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west-bromwich-albion-fc</v>
      </c>
      <c r="B238" s="2" t="s">
        <v>225</v>
      </c>
      <c r="C238" t="str">
        <f>_xlfn.TEXTBEFORE(_xlfn.TEXTAFTER(Tabla1[[#This Row],[ENLACE]],"/",1),"/")</f>
        <v>england</v>
      </c>
      <c r="D238" t="s">
        <v>578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west-ham-united-fc</v>
      </c>
      <c r="B239" s="5" t="s">
        <v>38</v>
      </c>
      <c r="C239" t="str">
        <f>_xlfn.TEXTBEFORE(_xlfn.TEXTAFTER(Tabla1[[#This Row],[ENLACE]],"/",1),"/")</f>
        <v>england</v>
      </c>
      <c r="D239" t="s">
        <v>578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wolverhampton-wanderers-fc</v>
      </c>
      <c r="B240" s="2" t="s">
        <v>39</v>
      </c>
      <c r="C240" t="str">
        <f>_xlfn.TEXTBEFORE(_xlfn.TEXTAFTER(Tabla1[[#This Row],[ENLACE]],"/",1),"/")</f>
        <v>england</v>
      </c>
      <c r="D240" t="s">
        <v>578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wrexham-afc</v>
      </c>
      <c r="B241" s="5" t="s">
        <v>226</v>
      </c>
      <c r="C241" t="str">
        <f>_xlfn.TEXTBEFORE(_xlfn.TEXTAFTER(Tabla1[[#This Row],[ENLACE]],"/",1),"/")</f>
        <v>england</v>
      </c>
      <c r="D241" t="s">
        <v>578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if-gnistan</v>
      </c>
      <c r="B242" s="5" t="s">
        <v>514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hjk-helsinki</v>
      </c>
      <c r="B243" s="5" t="s">
        <v>515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fc-ilves</v>
      </c>
      <c r="B244" s="5" t="s">
        <v>516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fc-inter-turku</v>
      </c>
      <c r="B245" s="5" t="s">
        <v>517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ff-jaro</v>
      </c>
      <c r="B246" s="5" t="s">
        <v>518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kuopion-palloseura</v>
      </c>
      <c r="B247" s="5" t="s">
        <v>519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fc-lahti</v>
      </c>
      <c r="B248" s="5" t="s">
        <v>575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ifk-mariehamn</v>
      </c>
      <c r="B249" s="5" t="s">
        <v>520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ac-oulu</v>
      </c>
      <c r="B250" s="5" t="s">
        <v>521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sjk</v>
      </c>
      <c r="B251" s="5" t="s">
        <v>522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tps-turku</v>
      </c>
      <c r="B252" s="5" t="s">
        <v>576</v>
      </c>
      <c r="C252" t="str">
        <f>_xlfn.TEXTBEFORE(_xlfn.TEXTAFTER(Tabla1[[#This Row],[ENLACE]],"/",1),"/")</f>
        <v>finland</v>
      </c>
      <c r="D252" t="str">
        <f>Tabla1[[#This Row],[PAIS]]</f>
        <v>finland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523</v>
      </c>
      <c r="C253" t="str">
        <f>_xlfn.TEXTBEFORE(_xlfn.TEXTAFTER(Tabla1[[#This Row],[ENLACE]],"/",1),"/")</f>
        <v>finland</v>
      </c>
      <c r="D253" t="str">
        <f>Tabla1[[#This Row],[PAIS]]</f>
        <v>finland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angers-sco</v>
      </c>
      <c r="B254" s="2" t="s">
        <v>227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aj-auxerre</v>
      </c>
      <c r="B255" s="5" t="s">
        <v>228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229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le-havre-ac</v>
      </c>
      <c r="B257" s="5" t="s">
        <v>230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le-mans-fc</v>
      </c>
      <c r="B258" s="2" t="s">
        <v>619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rc-lens</v>
      </c>
      <c r="B259" s="5" t="s">
        <v>231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lille-osc</v>
      </c>
      <c r="B260" s="2" t="s">
        <v>232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fc-lorient</v>
      </c>
      <c r="B261" s="5" t="s">
        <v>469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olympique-lyonnais</v>
      </c>
      <c r="B262" s="2" t="s">
        <v>233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olympique-de-marseille</v>
      </c>
      <c r="B263" s="5" t="s">
        <v>234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235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ogc-nice</v>
      </c>
      <c r="B265" s="5" t="s">
        <v>236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paris-fc</v>
      </c>
      <c r="B266" s="2" t="s">
        <v>470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paris-saint-germain-fc</v>
      </c>
      <c r="B267" s="5" t="s">
        <v>237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stade-rennais-fc</v>
      </c>
      <c r="B268" s="2" t="s">
        <v>238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rc-strasbourg-alsace</v>
      </c>
      <c r="B269" s="5" t="s">
        <v>239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toulouse-fc</v>
      </c>
      <c r="B270" s="2" t="s">
        <v>240</v>
      </c>
      <c r="C270" t="str">
        <f>_xlfn.TEXTBEFORE(_xlfn.TEXTAFTER(Tabla1[[#This Row],[ENLACE]],"/",1),"/")</f>
        <v>france</v>
      </c>
      <c r="D270" t="str">
        <f>Tabla1[[#This Row],[PAIS]]</f>
        <v>france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troyes-ac</v>
      </c>
      <c r="B271" s="5" t="s">
        <v>620</v>
      </c>
      <c r="C271" t="str">
        <f>_xlfn.TEXTBEFORE(_xlfn.TEXTAFTER(Tabla1[[#This Row],[ENLACE]],"/",1),"/")</f>
        <v>france</v>
      </c>
      <c r="D271" t="str">
        <f>Tabla1[[#This Row],[PAIS]]</f>
        <v>france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werder-bremen</v>
      </c>
      <c r="B274" s="2" t="s">
        <v>63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borussia-dortmund</v>
      </c>
      <c r="B275" s="5" t="s">
        <v>64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sv-elversberg</v>
      </c>
      <c r="B276" s="2" t="s">
        <v>621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fc-koln</v>
      </c>
      <c r="B277" s="5" t="s">
        <v>466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eintracht-frankfurt</v>
      </c>
      <c r="B278" s="2" t="s">
        <v>65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sc-freiburg</v>
      </c>
      <c r="B279" s="5" t="s">
        <v>66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hamburger-sv</v>
      </c>
      <c r="B280" s="2" t="s">
        <v>467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hoffenheim</v>
      </c>
      <c r="B281" s="5" t="s">
        <v>68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sc-paderborn</v>
      </c>
      <c r="B285" s="5" t="s">
        <v>622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rb-leipzig</v>
      </c>
      <c r="B286" s="2" t="s">
        <v>73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schalke-04</v>
      </c>
      <c r="B287" s="5" t="s">
        <v>623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vfb-stuttgart</v>
      </c>
      <c r="B288" s="2" t="s">
        <v>75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union-berlin</v>
      </c>
      <c r="B289" s="5" t="s">
        <v>76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arminia-bielefeld</v>
      </c>
      <c r="B290" s="2" t="s">
        <v>241</v>
      </c>
      <c r="C290" t="str">
        <f>_xlfn.TEXTBEFORE(_xlfn.TEXTAFTER(Tabla1[[#This Row],[ENLACE]],"/",1),"/")</f>
        <v>germany</v>
      </c>
      <c r="D290" t="s">
        <v>735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vfl-bochum</v>
      </c>
      <c r="B291" s="5" t="s">
        <v>62</v>
      </c>
      <c r="C291" t="str">
        <f>_xlfn.TEXTBEFORE(_xlfn.TEXTAFTER(Tabla1[[#This Row],[ENLACE]],"/",1),"/")</f>
        <v>germany</v>
      </c>
      <c r="D291" t="s">
        <v>735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eintracht-braunschweig</v>
      </c>
      <c r="B292" s="2" t="s">
        <v>242</v>
      </c>
      <c r="C292" t="str">
        <f>_xlfn.TEXTBEFORE(_xlfn.TEXTAFTER(Tabla1[[#This Row],[ENLACE]],"/",1),"/")</f>
        <v>germany</v>
      </c>
      <c r="D292" t="s">
        <v>735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fc-energie-cottbus</v>
      </c>
      <c r="B293" s="5" t="s">
        <v>595</v>
      </c>
      <c r="C293" t="str">
        <f>_xlfn.TEXTBEFORE(_xlfn.TEXTAFTER(Tabla1[[#This Row],[ENLACE]],"/",1),"/")</f>
        <v>germany</v>
      </c>
      <c r="D293" t="s">
        <v>735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darmstadt-98</v>
      </c>
      <c r="B294" s="2" t="s">
        <v>243</v>
      </c>
      <c r="C294" t="str">
        <f>_xlfn.TEXTBEFORE(_xlfn.TEXTAFTER(Tabla1[[#This Row],[ENLACE]],"/",1),"/")</f>
        <v>germany</v>
      </c>
      <c r="D294" t="s">
        <v>735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dynamo-dresden</v>
      </c>
      <c r="B295" s="5" t="s">
        <v>244</v>
      </c>
      <c r="C295" t="str">
        <f>_xlfn.TEXTBEFORE(_xlfn.TEXTAFTER(Tabla1[[#This Row],[ENLACE]],"/",1),"/")</f>
        <v>germany</v>
      </c>
      <c r="D295" t="s">
        <v>735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greuther-furth</v>
      </c>
      <c r="B296" s="2" t="s">
        <v>245</v>
      </c>
      <c r="C296" t="str">
        <f>_xlfn.TEXTBEFORE(_xlfn.TEXTAFTER(Tabla1[[#This Row],[ENLACE]],"/",1),"/")</f>
        <v>germany</v>
      </c>
      <c r="D296" t="s">
        <v>735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hannover-96</v>
      </c>
      <c r="B297" s="5" t="s">
        <v>246</v>
      </c>
      <c r="C297" t="str">
        <f>_xlfn.TEXTBEFORE(_xlfn.TEXTAFTER(Tabla1[[#This Row],[ENLACE]],"/",1),"/")</f>
        <v>germany</v>
      </c>
      <c r="D297" t="s">
        <v>735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t="s">
        <v>735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hertha-berlin</v>
      </c>
      <c r="B299" s="5" t="s">
        <v>247</v>
      </c>
      <c r="C299" t="str">
        <f>_xlfn.TEXTBEFORE(_xlfn.TEXTAFTER(Tabla1[[#This Row],[ENLACE]],"/",1),"/")</f>
        <v>germany</v>
      </c>
      <c r="D299" t="s">
        <v>735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fc-kaiserslautern</v>
      </c>
      <c r="B300" s="2" t="s">
        <v>248</v>
      </c>
      <c r="C300" t="str">
        <f>_xlfn.TEXTBEFORE(_xlfn.TEXTAFTER(Tabla1[[#This Row],[ENLACE]],"/",1),"/")</f>
        <v>germany</v>
      </c>
      <c r="D300" t="s">
        <v>735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karlsruher-sc</v>
      </c>
      <c r="B301" s="5" t="s">
        <v>249</v>
      </c>
      <c r="C301" t="str">
        <f>_xlfn.TEXTBEFORE(_xlfn.TEXTAFTER(Tabla1[[#This Row],[ENLACE]],"/",1),"/")</f>
        <v>germany</v>
      </c>
      <c r="D301" t="s">
        <v>735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holstein-kiel</v>
      </c>
      <c r="B302" s="2" t="s">
        <v>69</v>
      </c>
      <c r="C302" t="str">
        <f>_xlfn.TEXTBEFORE(_xlfn.TEXTAFTER(Tabla1[[#This Row],[ENLACE]],"/",1),"/")</f>
        <v>germany</v>
      </c>
      <c r="D302" t="s">
        <v>735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fc-magdeburg</v>
      </c>
      <c r="B303" s="5" t="s">
        <v>250</v>
      </c>
      <c r="C303" t="str">
        <f>_xlfn.TEXTBEFORE(_xlfn.TEXTAFTER(Tabla1[[#This Row],[ENLACE]],"/",1),"/")</f>
        <v>germany</v>
      </c>
      <c r="D303" t="s">
        <v>735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fc-nurnberg</v>
      </c>
      <c r="B304" s="2" t="s">
        <v>251</v>
      </c>
      <c r="C304" t="str">
        <f>_xlfn.TEXTBEFORE(_xlfn.TEXTAFTER(Tabla1[[#This Row],[ENLACE]],"/",1),"/")</f>
        <v>germany</v>
      </c>
      <c r="D304" t="s">
        <v>735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vfl-osnabruck</v>
      </c>
      <c r="B305" s="5" t="s">
        <v>596</v>
      </c>
      <c r="C305" t="str">
        <f>_xlfn.TEXTBEFORE(_xlfn.TEXTAFTER(Tabla1[[#This Row],[ENLACE]],"/",1),"/")</f>
        <v>germany</v>
      </c>
      <c r="D305" t="s">
        <v>735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fc-st-pauli</v>
      </c>
      <c r="B306" s="2" t="s">
        <v>74</v>
      </c>
      <c r="C306" t="str">
        <f>_xlfn.TEXTBEFORE(_xlfn.TEXTAFTER(Tabla1[[#This Row],[ENLACE]],"/",1),"/")</f>
        <v>germany</v>
      </c>
      <c r="D306" t="s">
        <v>735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t="s">
        <v>735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aek-athens-fc</v>
      </c>
      <c r="B308" s="5" t="s">
        <v>474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aris-thessaloniki-fc</v>
      </c>
      <c r="B309" s="5" t="s">
        <v>475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asteras-tripolis-fc</v>
      </c>
      <c r="B310" s="5" t="s">
        <v>476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atromitos-fc</v>
      </c>
      <c r="B311" s="5" t="s">
        <v>477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iraklis-fc</v>
      </c>
      <c r="B312" s="5" t="s">
        <v>624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kalamata-fc</v>
      </c>
      <c r="B313" s="5" t="s">
        <v>625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ae-kifisia-fc</v>
      </c>
      <c r="B314" s="5" t="s">
        <v>478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levadiakos-fc</v>
      </c>
      <c r="B315" s="5" t="s">
        <v>479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ofi-crete-fc</v>
      </c>
      <c r="B316" s="5" t="s">
        <v>480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olympiacos-fc</v>
      </c>
      <c r="B317" s="5" t="s">
        <v>481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panathinaikos-fc</v>
      </c>
      <c r="B318" s="5" t="s">
        <v>482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panetolikos-fc</v>
      </c>
      <c r="B319" s="5" t="s">
        <v>483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paok-fc</v>
      </c>
      <c r="B320" s="5" t="s">
        <v>484</v>
      </c>
      <c r="C320" t="str">
        <f>_xlfn.TEXTBEFORE(_xlfn.TEXTAFTER(Tabla1[[#This Row],[ENLACE]],"/",1),"/")</f>
        <v>greece</v>
      </c>
      <c r="D320" t="str">
        <f>Tabla1[[#This Row],[PAIS]]</f>
        <v>greece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volos-fc</v>
      </c>
      <c r="B321" s="5" t="s">
        <v>485</v>
      </c>
      <c r="C321" t="str">
        <f>_xlfn.TEXTBEFORE(_xlfn.TEXTAFTER(Tabla1[[#This Row],[ENLACE]],"/",1),"/")</f>
        <v>greece</v>
      </c>
      <c r="D321" t="str">
        <f>Tabla1[[#This Row],[PAIS]]</f>
        <v>greece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ac-milan</v>
      </c>
      <c r="B322" s="2" t="s">
        <v>252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as-roma</v>
      </c>
      <c r="B323" s="5" t="s">
        <v>253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atalanta-bc</v>
      </c>
      <c r="B324" s="2" t="s">
        <v>254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bologna-fc-1909</v>
      </c>
      <c r="B325" s="5" t="s">
        <v>255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cagliari-calcio</v>
      </c>
      <c r="B326" s="2" t="s">
        <v>256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como-1907</v>
      </c>
      <c r="B327" s="5" t="s">
        <v>257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acf-fiorentina</v>
      </c>
      <c r="B328" s="2" t="s">
        <v>258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frosinone-calcio</v>
      </c>
      <c r="B329" s="5" t="s">
        <v>626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genoa-cfc</v>
      </c>
      <c r="B330" s="2" t="s">
        <v>259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inter-milan</v>
      </c>
      <c r="B331" s="5" t="s">
        <v>260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juventus-fc</v>
      </c>
      <c r="B332" s="2" t="s">
        <v>261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ss-lazio</v>
      </c>
      <c r="B333" s="5" t="s">
        <v>262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us-lecce</v>
      </c>
      <c r="B334" s="2" t="s">
        <v>263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ac-monza</v>
      </c>
      <c r="B335" s="5" t="s">
        <v>627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ssc-napoli</v>
      </c>
      <c r="B336" s="2" t="s">
        <v>264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parma-calcio-1913</v>
      </c>
      <c r="B337" s="5" t="s">
        <v>265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us-sassuolo-calcio</v>
      </c>
      <c r="B338" s="2" t="s">
        <v>468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torino-fc</v>
      </c>
      <c r="B339" s="5" t="s">
        <v>266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udinese-calcio</v>
      </c>
      <c r="B340" s="2" t="s">
        <v>267</v>
      </c>
      <c r="C340" t="str">
        <f>_xlfn.TEXTBEFORE(_xlfn.TEXTAFTER(Tabla1[[#This Row],[ENLACE]],"/",1),"/")</f>
        <v>italy</v>
      </c>
      <c r="D340" t="str">
        <f>Tabla1[[#This Row],[PAIS]]</f>
        <v>italy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venezia-fc</v>
      </c>
      <c r="B341" s="5" t="s">
        <v>628</v>
      </c>
      <c r="C341" t="str">
        <f>_xlfn.TEXTBEFORE(_xlfn.TEXTAFTER(Tabla1[[#This Row],[ENLACE]],"/",1),"/")</f>
        <v>italy</v>
      </c>
      <c r="D341" t="str">
        <f>Tabla1[[#This Row],[PAIS]]</f>
        <v>italy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atletico-san-luis</v>
      </c>
      <c r="B342" s="2" t="s">
        <v>268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atlas-fc</v>
      </c>
      <c r="B343" s="5" t="s">
        <v>269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club-america</v>
      </c>
      <c r="B344" s="2" t="s">
        <v>270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cruz-azul</v>
      </c>
      <c r="B345" s="5" t="s">
        <v>271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cd-guadalajara</v>
      </c>
      <c r="B346" s="2" t="s">
        <v>272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fc-juarez</v>
      </c>
      <c r="B347" s="5" t="s">
        <v>273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club-leon</v>
      </c>
      <c r="B348" s="2" t="s">
        <v>274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mazatlan-fc</v>
      </c>
      <c r="B349" s="5" t="s">
        <v>275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cf-monterrey</v>
      </c>
      <c r="B350" s="2" t="s">
        <v>276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club-necaxa</v>
      </c>
      <c r="B351" s="5" t="s">
        <v>277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cf-pachuca</v>
      </c>
      <c r="B352" s="2" t="s">
        <v>278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club-puebla</v>
      </c>
      <c r="B353" s="5" t="s">
        <v>279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queretaro-fc</v>
      </c>
      <c r="B354" s="2" t="s">
        <v>280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santos-laguna</v>
      </c>
      <c r="B355" s="5" t="s">
        <v>281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tigres-uanl</v>
      </c>
      <c r="B356" s="2" t="s">
        <v>282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club-tijuana</v>
      </c>
      <c r="B357" s="5" t="s">
        <v>283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deportivo-toluca-fc</v>
      </c>
      <c r="B358" s="2" t="s">
        <v>284</v>
      </c>
      <c r="C358" t="str">
        <f>_xlfn.TEXTBEFORE(_xlfn.TEXTAFTER(Tabla1[[#This Row],[ENLACE]],"/",1),"/")</f>
        <v>mexico</v>
      </c>
      <c r="D358" t="str">
        <f>Tabla1[[#This Row],[PAIS]]</f>
        <v>mexico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unam</v>
      </c>
      <c r="B359" s="5" t="s">
        <v>285</v>
      </c>
      <c r="C359" t="str">
        <f>_xlfn.TEXTBEFORE(_xlfn.TEXTAFTER(Tabla1[[#This Row],[ENLACE]],"/",1),"/")</f>
        <v>mexico</v>
      </c>
      <c r="D359" t="str">
        <f>Tabla1[[#This Row],[PAIS]]</f>
        <v>mexico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afc-ajax</v>
      </c>
      <c r="B360" s="2" t="s">
        <v>286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az-alkmaar</v>
      </c>
      <c r="B361" s="5" t="s">
        <v>287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sc-cambuur</v>
      </c>
      <c r="B362" s="2" t="s">
        <v>597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ado-den-haag</v>
      </c>
      <c r="B363" s="5" t="s">
        <v>598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sbv-excelsior</v>
      </c>
      <c r="B364" s="2" t="s">
        <v>288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feyenoord-rotterdam</v>
      </c>
      <c r="B365" s="5" t="s">
        <v>289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go-ahead-eagles</v>
      </c>
      <c r="B366" s="2" t="s">
        <v>290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fc-groningen</v>
      </c>
      <c r="B367" s="5" t="s">
        <v>291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sc-heerenveen</v>
      </c>
      <c r="B368" s="2" t="s">
        <v>292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nec-nijmegen</v>
      </c>
      <c r="B369" s="5" t="s">
        <v>293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psv-eindhoven</v>
      </c>
      <c r="B370" s="2" t="s">
        <v>294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fortuna-sittard</v>
      </c>
      <c r="B371" s="5" t="s">
        <v>295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sparta-rotterdam</v>
      </c>
      <c r="B372" s="2" t="s">
        <v>296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sc-telstar</v>
      </c>
      <c r="B373" s="5" t="s">
        <v>297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fc-twente</v>
      </c>
      <c r="B374" s="2" t="s">
        <v>298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fc-utrecht</v>
      </c>
      <c r="B375" s="5" t="s">
        <v>299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willem-ii</v>
      </c>
      <c r="B376" s="2" t="s">
        <v>599</v>
      </c>
      <c r="C376" t="str">
        <f>_xlfn.TEXTBEFORE(_xlfn.TEXTAFTER(Tabla1[[#This Row],[ENLACE]],"/",1),"/")</f>
        <v>netherlands</v>
      </c>
      <c r="D376" t="str">
        <f>Tabla1[[#This Row],[PAIS]]</f>
        <v>netherlands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pec-zwolle</v>
      </c>
      <c r="B377" s="5" t="s">
        <v>300</v>
      </c>
      <c r="C377" t="str">
        <f>_xlfn.TEXTBEFORE(_xlfn.TEXTAFTER(Tabla1[[#This Row],[ENLACE]],"/",1),"/")</f>
        <v>netherlands</v>
      </c>
      <c r="D377" t="str">
        <f>Tabla1[[#This Row],[PAIS]]</f>
        <v>netherlands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aalesunds-fk</v>
      </c>
      <c r="B378" s="2" t="s">
        <v>609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fk-bodo-glimt</v>
      </c>
      <c r="B379" s="5" t="s">
        <v>301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sk-brann</v>
      </c>
      <c r="B380" s="2" t="s">
        <v>302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fredrikstad-fk</v>
      </c>
      <c r="B381" s="5" t="s">
        <v>303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ham-kam</v>
      </c>
      <c r="B382" s="2" t="s">
        <v>304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kfum-kameratene-oslo</v>
      </c>
      <c r="B383" s="5" t="s">
        <v>305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kristiansund-bk</v>
      </c>
      <c r="B384" s="2" t="s">
        <v>306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lillestrom-sk</v>
      </c>
      <c r="B385" s="5" t="s">
        <v>610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molde-fk</v>
      </c>
      <c r="B386" s="2" t="s">
        <v>307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rosenborg-bk</v>
      </c>
      <c r="B387" s="5" t="s">
        <v>308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sandefjord-fotball</v>
      </c>
      <c r="B388" s="2" t="s">
        <v>309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sarpsborg-08-ff</v>
      </c>
      <c r="B389" s="5" t="s">
        <v>310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ik-start</v>
      </c>
      <c r="B390" s="2" t="s">
        <v>611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tromso-il</v>
      </c>
      <c r="B391" s="5" t="s">
        <v>311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valerenga-fotball</v>
      </c>
      <c r="B392" s="2" t="s">
        <v>312</v>
      </c>
      <c r="C392" t="str">
        <f>_xlfn.TEXTBEFORE(_xlfn.TEXTAFTER(Tabla1[[#This Row],[ENLACE]],"/",1),"/")</f>
        <v>norway</v>
      </c>
      <c r="D392" t="str">
        <f>Tabla1[[#This Row],[PAIS]]</f>
        <v>norway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viking-fk</v>
      </c>
      <c r="B393" s="5" t="s">
        <v>313</v>
      </c>
      <c r="C393" t="str">
        <f>_xlfn.TEXTBEFORE(_xlfn.TEXTAFTER(Tabla1[[#This Row],[ENLACE]],"/",1),"/")</f>
        <v>norway</v>
      </c>
      <c r="D393" t="str">
        <f>Tabla1[[#This Row],[PAIS]]</f>
        <v>norway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alianza-lima</v>
      </c>
      <c r="B394" t="s">
        <v>314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asociacion-deportiva-tarma</v>
      </c>
      <c r="B395" t="s">
        <v>315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alianza-atletico</v>
      </c>
      <c r="B396" t="s">
        <v>316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universidad-tecnica-de-cajamarca</v>
      </c>
      <c r="B397" t="s">
        <v>317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club-sportivo-cienciano</v>
      </c>
      <c r="B398" t="s">
        <v>318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comerciantes-unidos</v>
      </c>
      <c r="B399" t="s">
        <v>319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cusco-fc</v>
      </c>
      <c r="B400" t="s">
        <v>320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deportivo-garcilaso</v>
      </c>
      <c r="B401" t="s">
        <v>321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fc-cajamarca</v>
      </c>
      <c r="B402" t="s">
        <v>535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atletico-grau</v>
      </c>
      <c r="B403" t="s">
        <v>322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sport-huancayo</v>
      </c>
      <c r="B404" t="s">
        <v>323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adc-juan-pablo-ii-college</v>
      </c>
      <c r="B405" t="s">
        <v>324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los-chankas-cyc</v>
      </c>
      <c r="B406" t="s">
        <v>325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fbc-melgar</v>
      </c>
      <c r="B407" t="s">
        <v>326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club-deportivo-moquegua</v>
      </c>
      <c r="B408" t="s">
        <v>536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sport-boys</v>
      </c>
      <c r="B409" t="s">
        <v>327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sporting-cristal</v>
      </c>
      <c r="B410" t="s">
        <v>328</v>
      </c>
      <c r="C410" t="str">
        <f>_xlfn.TEXTBEFORE(_xlfn.TEXTAFTER(Tabla1[[#This Row],[ENLACE]],"/",1),"/")</f>
        <v>peru</v>
      </c>
      <c r="D410" t="str">
        <f>Tabla1[[#This Row],[PAIS]]</f>
        <v>peru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club-universitario-de-deportes</v>
      </c>
      <c r="B411" t="s">
        <v>329</v>
      </c>
      <c r="C411" t="str">
        <f>_xlfn.TEXTBEFORE(_xlfn.TEXTAFTER(Tabla1[[#This Row],[ENLACE]],"/",1),"/")</f>
        <v>peru</v>
      </c>
      <c r="D411" t="str">
        <f>Tabla1[[#This Row],[PAIS]]</f>
        <v>peru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cracovia</v>
      </c>
      <c r="B412" s="5" t="s">
        <v>330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gornik-zabrze</v>
      </c>
      <c r="B413" s="2" t="s">
        <v>331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jagiellona-bialystok</v>
      </c>
      <c r="B414" s="5" t="s">
        <v>332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gks-katowice</v>
      </c>
      <c r="B415" s="2" t="s">
        <v>333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korona-kielce</v>
      </c>
      <c r="B416" s="5" t="s">
        <v>334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lech-poznan</v>
      </c>
      <c r="B417" s="2" t="s">
        <v>335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legia-warsaw</v>
      </c>
      <c r="B418" s="5" t="s">
        <v>336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motor-lublin</v>
      </c>
      <c r="B419" s="2" t="s">
        <v>337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piast-gliwice</v>
      </c>
      <c r="B420" s="5" t="s">
        <v>338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mks-pogon-szczecin</v>
      </c>
      <c r="B421" s="2" t="s">
        <v>339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radomiak-radom</v>
      </c>
      <c r="B422" s="5" t="s">
        <v>340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rakow-czestochowa</v>
      </c>
      <c r="B423" s="2" t="s">
        <v>341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slask-wroclaw</v>
      </c>
      <c r="B424" s="5" t="s">
        <v>587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rts-widzew-lodz</v>
      </c>
      <c r="B425" s="2" t="s">
        <v>342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ks-wieczysta-krokow</v>
      </c>
      <c r="B426" s="5" t="s">
        <v>588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wisla-krakow</v>
      </c>
      <c r="B427" s="2" t="s">
        <v>589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wisla-plock</v>
      </c>
      <c r="B428" s="5" t="s">
        <v>343</v>
      </c>
      <c r="C428" t="str">
        <f>_xlfn.TEXTBEFORE(_xlfn.TEXTAFTER(Tabla1[[#This Row],[ENLACE]],"/",1),"/")</f>
        <v>poland</v>
      </c>
      <c r="D428" t="str">
        <f>Tabla1[[#This Row],[PAIS]]</f>
        <v>poland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zaglebie-lubin</v>
      </c>
      <c r="B429" s="2" t="s">
        <v>344</v>
      </c>
      <c r="C429" t="str">
        <f>_xlfn.TEXTBEFORE(_xlfn.TEXTAFTER(Tabla1[[#This Row],[ENLACE]],"/",1),"/")</f>
        <v>poland</v>
      </c>
      <c r="D429" t="str">
        <f>Tabla1[[#This Row],[PAIS]]</f>
        <v>poland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academico-de-viseu-fc</v>
      </c>
      <c r="B430" s="5" t="s">
        <v>612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fc-alverca</v>
      </c>
      <c r="B431" s="2" t="s">
        <v>345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fc-arouca</v>
      </c>
      <c r="B432" s="5" t="s">
        <v>346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benfica</v>
      </c>
      <c r="B433" s="2" t="s">
        <v>347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braga</v>
      </c>
      <c r="B434" s="5" t="s">
        <v>348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casa-pia-ac</v>
      </c>
      <c r="B435" s="2" t="s">
        <v>349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gd-estoril-praia</v>
      </c>
      <c r="B436" s="5" t="s">
        <v>350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cf-estrela-da-amadora</v>
      </c>
      <c r="B437" s="2" t="s">
        <v>351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famalicao</v>
      </c>
      <c r="B438" s="5" t="s">
        <v>352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fc-porto</v>
      </c>
      <c r="B439" s="2" t="s">
        <v>353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gil-vicente</v>
      </c>
      <c r="B440" s="5" t="s">
        <v>354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vitoria-de-guimaraes</v>
      </c>
      <c r="B441" s="2" t="s">
        <v>355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maritimo</v>
      </c>
      <c r="B442" s="5" t="s">
        <v>613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moreirense-fc</v>
      </c>
      <c r="B443" s="2" t="s">
        <v>356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cd-nacional</v>
      </c>
      <c r="B444" s="5" t="s">
        <v>357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rio-ave-fc</v>
      </c>
      <c r="B445" s="2" t="s">
        <v>358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santa-clara</v>
      </c>
      <c r="B446" s="5" t="s">
        <v>359</v>
      </c>
      <c r="C446" t="str">
        <f>_xlfn.TEXTBEFORE(_xlfn.TEXTAFTER(Tabla1[[#This Row],[ENLACE]],"/",1),"/")</f>
        <v>portugal</v>
      </c>
      <c r="D446" t="str">
        <f>Tabla1[[#This Row],[PAIS]]</f>
        <v>portugal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sporting-cp</v>
      </c>
      <c r="B447" s="2" t="s">
        <v>360</v>
      </c>
      <c r="C447" t="str">
        <f>_xlfn.TEXTBEFORE(_xlfn.TEXTAFTER(Tabla1[[#This Row],[ENLACE]],"/",1),"/")</f>
        <v>portugal</v>
      </c>
      <c r="D447" t="str">
        <f>Tabla1[[#This Row],[PAIS]]</f>
        <v>portugal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fc-botosani</v>
      </c>
      <c r="B448" s="5" t="s">
        <v>361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cfr-cluj</v>
      </c>
      <c r="B449" s="2" t="s">
        <v>362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corvinul-hunedoara</v>
      </c>
      <c r="B450" s="5" t="s">
        <v>590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fk-miercurea-ciuc</v>
      </c>
      <c r="B451" s="2" t="s">
        <v>363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fc-dinamo-bucuresti</v>
      </c>
      <c r="B452" s="5" t="s">
        <v>364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fc-farul-constanta</v>
      </c>
      <c r="B453" s="2" t="s">
        <v>365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fc-arges-pitesti</v>
      </c>
      <c r="B454" s="5" t="s">
        <v>366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fc-rapid-bucuresti</v>
      </c>
      <c r="B455" s="2" t="s">
        <v>367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fc-voluntari</v>
      </c>
      <c r="B456" s="5" t="s">
        <v>591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fcsb</v>
      </c>
      <c r="B457" s="2" t="s">
        <v>368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asc-otelul-galati</v>
      </c>
      <c r="B458" s="5" t="s">
        <v>369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fc-petrolul-ploiesti</v>
      </c>
      <c r="B459" s="2" t="s">
        <v>370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sepsi-osk-sftantu-gheorghe</v>
      </c>
      <c r="B460" s="5" t="s">
        <v>592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fc-universitatea-cluj</v>
      </c>
      <c r="B461" s="2" t="s">
        <v>371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cs-universitatea-craiova</v>
      </c>
      <c r="B462" s="5" t="s">
        <v>372</v>
      </c>
      <c r="C462" t="str">
        <f>_xlfn.TEXTBEFORE(_xlfn.TEXTAFTER(Tabla1[[#This Row],[ENLACE]],"/",1),"/")</f>
        <v>romania</v>
      </c>
      <c r="D462" t="str">
        <f>Tabla1[[#This Row],[PAIS]]</f>
        <v>romania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fc-uta-arad</v>
      </c>
      <c r="B463" s="2" t="s">
        <v>373</v>
      </c>
      <c r="C463" t="str">
        <f>_xlfn.TEXTBEFORE(_xlfn.TEXTAFTER(Tabla1[[#This Row],[ENLACE]],"/",1),"/")</f>
        <v>romania</v>
      </c>
      <c r="D463" t="str">
        <f>Tabla1[[#This Row],[PAIS]]</f>
        <v>romania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abha-club</v>
      </c>
      <c r="B464" s="5" t="s">
        <v>600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diriyah-club</v>
      </c>
      <c r="B465" s="2" t="s">
        <v>601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al-fateh-sc</v>
      </c>
      <c r="B466" s="5" t="s">
        <v>374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al-fayha-fc</v>
      </c>
      <c r="B467" s="2" t="s">
        <v>375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al-hazem-fc</v>
      </c>
      <c r="B468" s="5" t="s">
        <v>500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khaleej-fc</v>
      </c>
      <c r="B469" s="2" t="s">
        <v>376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al-kholood-club</v>
      </c>
      <c r="B470" s="5" t="s">
        <v>377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al-qadsiah-fc</v>
      </c>
      <c r="B471" s="2" t="s">
        <v>378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al-riyadh-sc</v>
      </c>
      <c r="B472" s="5" t="s">
        <v>379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al-ahli-saudi-fc</v>
      </c>
      <c r="B473" s="2" t="s">
        <v>380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al-ettifaq-fc</v>
      </c>
      <c r="B474" s="5" t="s">
        <v>381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al-faisaly-fc</v>
      </c>
      <c r="B475" s="2" t="s">
        <v>602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al-hilal-fc</v>
      </c>
      <c r="B476" s="5" t="s">
        <v>382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al-ittihad-fc</v>
      </c>
      <c r="B477" s="2" t="s">
        <v>383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al-nassr-fc</v>
      </c>
      <c r="B478" s="5" t="s">
        <v>384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al-shabab-fc</v>
      </c>
      <c r="B479" s="2" t="s">
        <v>385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al-taawoun-fc</v>
      </c>
      <c r="B480" s="5" t="s">
        <v>386</v>
      </c>
      <c r="C480" t="str">
        <f>_xlfn.TEXTBEFORE(_xlfn.TEXTAFTER(Tabla1[[#This Row],[ENLACE]],"/",1),"/")</f>
        <v>saudi-arabia</v>
      </c>
      <c r="D480" t="str">
        <f>Tabla1[[#This Row],[PAIS]]</f>
        <v>saudi-arabia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neom-sc</v>
      </c>
      <c r="B481" s="2" t="s">
        <v>501</v>
      </c>
      <c r="C481" t="str">
        <f>_xlfn.TEXTBEFORE(_xlfn.TEXTAFTER(Tabla1[[#This Row],[ENLACE]],"/",1),"/")</f>
        <v>saudi-arabia</v>
      </c>
      <c r="D481" t="str">
        <f>Tabla1[[#This Row],[PAIS]]</f>
        <v>saudi-arabia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aberdeen-fc</v>
      </c>
      <c r="B482" s="5" t="s">
        <v>387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celtic-fc</v>
      </c>
      <c r="B483" s="2" t="s">
        <v>388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dundee-fc</v>
      </c>
      <c r="B484" s="5" t="s">
        <v>389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dundee-united-fc</v>
      </c>
      <c r="B485" s="2" t="s">
        <v>390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falkirk-fc</v>
      </c>
      <c r="B486" s="5" t="s">
        <v>391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heart-of-midlothian-fc</v>
      </c>
      <c r="B487" s="2" t="s">
        <v>392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hibernian-fc</v>
      </c>
      <c r="B488" s="5" t="s">
        <v>393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kilmarnock-fc</v>
      </c>
      <c r="B489" s="2" t="s">
        <v>394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motherwell-fc</v>
      </c>
      <c r="B490" s="5" t="s">
        <v>395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rangers-fc</v>
      </c>
      <c r="B491" s="2" t="s">
        <v>396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st-johnstone-fc</v>
      </c>
      <c r="B492" s="5" t="s">
        <v>593</v>
      </c>
      <c r="C492" t="str">
        <f>_xlfn.TEXTBEFORE(_xlfn.TEXTAFTER(Tabla1[[#This Row],[ENLACE]],"/",1),"/")</f>
        <v>scotland</v>
      </c>
      <c r="D492" t="str">
        <f>Tabla1[[#This Row],[PAIS]]</f>
        <v>scotland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st-mirren-fc</v>
      </c>
      <c r="B493" s="2" t="s">
        <v>397</v>
      </c>
      <c r="C493" t="str">
        <f>_xlfn.TEXTBEFORE(_xlfn.TEXTAFTER(Tabla1[[#This Row],[ENLACE]],"/",1),"/")</f>
        <v>scotland</v>
      </c>
      <c r="D493" t="str">
        <f>Tabla1[[#This Row],[PAIS]]</f>
        <v>scotland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deportivo-de-a-coruna</v>
      </c>
      <c r="B494" s="5" t="s">
        <v>614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deportivo-alaves</v>
      </c>
      <c r="B495" s="2" t="s">
        <v>40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athletic-bilbao</v>
      </c>
      <c r="B496" s="5" t="s">
        <v>41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atletico-madrid</v>
      </c>
      <c r="B497" s="2" t="s">
        <v>42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fc-barcelona</v>
      </c>
      <c r="B498" s="5" t="s">
        <v>43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real-betis-balompie</v>
      </c>
      <c r="B499" s="2" t="s">
        <v>44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celta-vigo</v>
      </c>
      <c r="B500" s="5" t="s">
        <v>45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elche-cf</v>
      </c>
      <c r="B501" s="2" t="s">
        <v>471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rcd-espanyol</v>
      </c>
      <c r="B502" s="5" t="s">
        <v>46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getafe-cf</v>
      </c>
      <c r="B503" s="2" t="s">
        <v>47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levante-ud</v>
      </c>
      <c r="B504" s="5" t="s">
        <v>472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malaga-cf</v>
      </c>
      <c r="B505" s="2" t="s">
        <v>407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ca-osasuna</v>
      </c>
      <c r="B506" s="5" t="s">
        <v>52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racing-de-santander</v>
      </c>
      <c r="B507" s="2" t="s">
        <v>408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rayo-vallecano</v>
      </c>
      <c r="B508" s="5" t="s">
        <v>53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real-madrid-cf</v>
      </c>
      <c r="B509" s="2" t="s">
        <v>54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real-sociedad</v>
      </c>
      <c r="B510" s="5" t="s">
        <v>55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sevilla-fc</v>
      </c>
      <c r="B511" s="2" t="s">
        <v>56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valencia-cf</v>
      </c>
      <c r="B512" s="5" t="s">
        <v>57</v>
      </c>
      <c r="C512" t="str">
        <f>_xlfn.TEXTBEFORE(_xlfn.TEXTAFTER(Tabla1[[#This Row],[ENLACE]],"/",1),"/")</f>
        <v>spain</v>
      </c>
      <c r="D512" t="str">
        <f>Tabla1[[#This Row],[PAIS]]</f>
        <v>spain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villarreal-cf</v>
      </c>
      <c r="B513" s="2" t="s">
        <v>59</v>
      </c>
      <c r="C513" t="str">
        <f>_xlfn.TEXTBEFORE(_xlfn.TEXTAFTER(Tabla1[[#This Row],[ENLACE]],"/",1),"/")</f>
        <v>spain</v>
      </c>
      <c r="D513" t="str">
        <f>Tabla1[[#This Row],[PAIS]]</f>
        <v>spain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albacete-balompie</v>
      </c>
      <c r="B514" s="5" t="s">
        <v>398</v>
      </c>
      <c r="C514" t="str">
        <f>_xlfn.TEXTBEFORE(_xlfn.TEXTAFTER(Tabla1[[#This Row],[ENLACE]],"/",1),"/")</f>
        <v>spain</v>
      </c>
      <c r="D514" t="s">
        <v>579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ud-almeria</v>
      </c>
      <c r="B515" s="2" t="s">
        <v>399</v>
      </c>
      <c r="C515" t="str">
        <f>_xlfn.TEXTBEFORE(_xlfn.TEXTAFTER(Tabla1[[#This Row],[ENLACE]],"/",1),"/")</f>
        <v>spain</v>
      </c>
      <c r="D515" t="s">
        <v>579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fc-andorra</v>
      </c>
      <c r="B516" s="5" t="s">
        <v>463</v>
      </c>
      <c r="C516" t="str">
        <f>_xlfn.TEXTBEFORE(_xlfn.TEXTAFTER(Tabla1[[#This Row],[ENLACE]],"/",1),"/")</f>
        <v>spain</v>
      </c>
      <c r="D516" t="s">
        <v>579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burgos-cf</v>
      </c>
      <c r="B517" s="2" t="s">
        <v>400</v>
      </c>
      <c r="C517" t="str">
        <f>_xlfn.TEXTBEFORE(_xlfn.TEXTAFTER(Tabla1[[#This Row],[ENLACE]],"/",1),"/")</f>
        <v>spain</v>
      </c>
      <c r="D517" t="s">
        <v>579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cadiz-cf</v>
      </c>
      <c r="B518" s="5" t="s">
        <v>401</v>
      </c>
      <c r="C518" t="str">
        <f>_xlfn.TEXTBEFORE(_xlfn.TEXTAFTER(Tabla1[[#This Row],[ENLACE]],"/",1),"/")</f>
        <v>spain</v>
      </c>
      <c r="D518" t="s">
        <v>579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cd-castellon</v>
      </c>
      <c r="B519" s="2" t="s">
        <v>402</v>
      </c>
      <c r="C519" t="str">
        <f>_xlfn.TEXTBEFORE(_xlfn.TEXTAFTER(Tabla1[[#This Row],[ENLACE]],"/",1),"/")</f>
        <v>spain</v>
      </c>
      <c r="D519" t="s">
        <v>579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celta-de-vigo-b</v>
      </c>
      <c r="B520" s="5" t="s">
        <v>615</v>
      </c>
      <c r="C520" t="str">
        <f>_xlfn.TEXTBEFORE(_xlfn.TEXTAFTER(Tabla1[[#This Row],[ENLACE]],"/",1),"/")</f>
        <v>spain</v>
      </c>
      <c r="D520" t="s">
        <v>579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ad-ceuta-fc</v>
      </c>
      <c r="B521" s="2" t="s">
        <v>464</v>
      </c>
      <c r="C521" t="str">
        <f>_xlfn.TEXTBEFORE(_xlfn.TEXTAFTER(Tabla1[[#This Row],[ENLACE]],"/",1),"/")</f>
        <v>spain</v>
      </c>
      <c r="D521" t="s">
        <v>579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cordoba-cf</v>
      </c>
      <c r="B522" s="5" t="s">
        <v>403</v>
      </c>
      <c r="C522" t="str">
        <f>_xlfn.TEXTBEFORE(_xlfn.TEXTAFTER(Tabla1[[#This Row],[ENLACE]],"/",1),"/")</f>
        <v>spain</v>
      </c>
      <c r="D522" t="s">
        <v>579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sd-eibar</v>
      </c>
      <c r="B523" s="2" t="s">
        <v>404</v>
      </c>
      <c r="C523" t="str">
        <f>_xlfn.TEXTBEFORE(_xlfn.TEXTAFTER(Tabla1[[#This Row],[ENLACE]],"/",1),"/")</f>
        <v>spain</v>
      </c>
      <c r="D523" t="s">
        <v>579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cd-eldense</v>
      </c>
      <c r="B524" s="5" t="s">
        <v>616</v>
      </c>
      <c r="C524" t="str">
        <f>_xlfn.TEXTBEFORE(_xlfn.TEXTAFTER(Tabla1[[#This Row],[ENLACE]],"/",1),"/")</f>
        <v>spain</v>
      </c>
      <c r="D524" t="s">
        <v>579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sporting-de-gijon</v>
      </c>
      <c r="B525" s="2" t="s">
        <v>405</v>
      </c>
      <c r="C525" t="str">
        <f>_xlfn.TEXTBEFORE(_xlfn.TEXTAFTER(Tabla1[[#This Row],[ENLACE]],"/",1),"/")</f>
        <v>spain</v>
      </c>
      <c r="D525" t="s">
        <v>579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girona-fc</v>
      </c>
      <c r="B526" s="5" t="s">
        <v>48</v>
      </c>
      <c r="C526" t="str">
        <f>_xlfn.TEXTBEFORE(_xlfn.TEXTAFTER(Tabla1[[#This Row],[ENLACE]],"/",1),"/")</f>
        <v>spain</v>
      </c>
      <c r="D526" t="s">
        <v>579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granada-cf</v>
      </c>
      <c r="B527" s="2" t="s">
        <v>406</v>
      </c>
      <c r="C527" t="str">
        <f>_xlfn.TEXTBEFORE(_xlfn.TEXTAFTER(Tabla1[[#This Row],[ENLACE]],"/",1),"/")</f>
        <v>spain</v>
      </c>
      <c r="D527" t="s">
        <v>579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ud-las-palmas</v>
      </c>
      <c r="B528" s="5" t="s">
        <v>49</v>
      </c>
      <c r="C528" t="str">
        <f>_xlfn.TEXTBEFORE(_xlfn.TEXTAFTER(Tabla1[[#This Row],[ENLACE]],"/",1),"/")</f>
        <v>spain</v>
      </c>
      <c r="D528" t="s">
        <v>579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cd-leganes</v>
      </c>
      <c r="B529" s="2" t="s">
        <v>50</v>
      </c>
      <c r="C529" t="str">
        <f>_xlfn.TEXTBEFORE(_xlfn.TEXTAFTER(Tabla1[[#This Row],[ENLACE]],"/",1),"/")</f>
        <v>spain</v>
      </c>
      <c r="D529" t="s">
        <v>579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rcd-mallorca</v>
      </c>
      <c r="B530" s="5" t="s">
        <v>51</v>
      </c>
      <c r="C530" t="str">
        <f>_xlfn.TEXTBEFORE(_xlfn.TEXTAFTER(Tabla1[[#This Row],[ENLACE]],"/",1),"/")</f>
        <v>spain</v>
      </c>
      <c r="D530" t="s">
        <v>579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real-oviedo</v>
      </c>
      <c r="B531" s="2" t="s">
        <v>473</v>
      </c>
      <c r="C531" t="str">
        <f>_xlfn.TEXTBEFORE(_xlfn.TEXTAFTER(Tabla1[[#This Row],[ENLACE]],"/",1),"/")</f>
        <v>spain</v>
      </c>
      <c r="D531" t="s">
        <v>579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real-sociedad-b</v>
      </c>
      <c r="B532" s="5" t="s">
        <v>465</v>
      </c>
      <c r="C532" t="str">
        <f>_xlfn.TEXTBEFORE(_xlfn.TEXTAFTER(Tabla1[[#This Row],[ENLACE]],"/",1),"/")</f>
        <v>spain</v>
      </c>
      <c r="D532" t="s">
        <v>579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ce-sabadell-fc</v>
      </c>
      <c r="B533" s="2" t="s">
        <v>617</v>
      </c>
      <c r="C533" t="str">
        <f>_xlfn.TEXTBEFORE(_xlfn.TEXTAFTER(Tabla1[[#This Row],[ENLACE]],"/",1),"/")</f>
        <v>spain</v>
      </c>
      <c r="D533" t="s">
        <v>579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cd-tenerife</v>
      </c>
      <c r="B534" s="5" t="s">
        <v>618</v>
      </c>
      <c r="C534" t="str">
        <f>_xlfn.TEXTBEFORE(_xlfn.TEXTAFTER(Tabla1[[#This Row],[ENLACE]],"/",1),"/")</f>
        <v>spain</v>
      </c>
      <c r="D534" t="s">
        <v>579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real-valladolid</v>
      </c>
      <c r="B535" s="2" t="s">
        <v>58</v>
      </c>
      <c r="C535" t="str">
        <f>_xlfn.TEXTBEFORE(_xlfn.TEXTAFTER(Tabla1[[#This Row],[ENLACE]],"/",1),"/")</f>
        <v>spain</v>
      </c>
      <c r="D535" t="s">
        <v>579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aik</v>
      </c>
      <c r="B536" s="5" t="s">
        <v>409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if-brommapojkarna</v>
      </c>
      <c r="B537" s="2" t="s">
        <v>410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degerfors-if</v>
      </c>
      <c r="B538" s="5" t="s">
        <v>411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djurgardens-if</v>
      </c>
      <c r="B539" s="2" t="s">
        <v>412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if-elfsborg</v>
      </c>
      <c r="B540" s="5" t="s">
        <v>413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gais</v>
      </c>
      <c r="B541" s="2" t="s">
        <v>414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ifk-goteborg</v>
      </c>
      <c r="B542" s="5" t="s">
        <v>415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bk-hacken</v>
      </c>
      <c r="B543" s="2" t="s">
        <v>416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halmstads-bk</v>
      </c>
      <c r="B544" s="5" t="s">
        <v>417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hammarby-if</v>
      </c>
      <c r="B545" s="2" t="s">
        <v>418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kalmar-ff</v>
      </c>
      <c r="B546" s="5" t="s">
        <v>541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malmo-ff</v>
      </c>
      <c r="B547" s="2" t="s">
        <v>419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mjallby-aif</v>
      </c>
      <c r="B548" s="5" t="s">
        <v>420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orgryte-is</v>
      </c>
      <c r="B549" s="2" t="s">
        <v>542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ik-sirius</v>
      </c>
      <c r="B550" s="5" t="s">
        <v>421</v>
      </c>
      <c r="C550" t="str">
        <f>_xlfn.TEXTBEFORE(_xlfn.TEXTAFTER(Tabla1[[#This Row],[ENLACE]],"/",1),"/")</f>
        <v>sweden</v>
      </c>
      <c r="D550" t="str">
        <f>Tabla1[[#This Row],[PAIS]]</f>
        <v>sweden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vasteras-sk</v>
      </c>
      <c r="B551" s="2" t="s">
        <v>543</v>
      </c>
      <c r="C551" t="str">
        <f>_xlfn.TEXTBEFORE(_xlfn.TEXTAFTER(Tabla1[[#This Row],[ENLACE]],"/",1),"/")</f>
        <v>sweden</v>
      </c>
      <c r="D551" t="str">
        <f>Tabla1[[#This Row],[PAIS]]</f>
        <v>sweden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fc-basel</v>
      </c>
      <c r="B552" s="5" t="s">
        <v>422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grasshopper-club-zurich</v>
      </c>
      <c r="B553" s="2" t="s">
        <v>423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fc-lausanne-sport</v>
      </c>
      <c r="B554" s="5" t="s">
        <v>424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fc-lugano</v>
      </c>
      <c r="B555" s="2" t="s">
        <v>425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fc-luzern</v>
      </c>
      <c r="B556" s="5" t="s">
        <v>426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servette-fc</v>
      </c>
      <c r="B557" s="6" t="s">
        <v>427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fc-sion</v>
      </c>
      <c r="B558" t="s">
        <v>428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fc-st-gallen</v>
      </c>
      <c r="B559" s="7" t="s">
        <v>429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fc-thun</v>
      </c>
      <c r="B560" t="s">
        <v>430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fc-vaduz</v>
      </c>
      <c r="B561" s="7" t="s">
        <v>594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bsc-young-boys</v>
      </c>
      <c r="B562" t="s">
        <v>431</v>
      </c>
      <c r="C562" t="str">
        <f>_xlfn.TEXTBEFORE(_xlfn.TEXTAFTER(Tabla1[[#This Row],[ENLACE]],"/",1),"/")</f>
        <v>switzerland</v>
      </c>
      <c r="D562" t="str">
        <f>Tabla1[[#This Row],[PAIS]]</f>
        <v>switzerland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fc-zurich</v>
      </c>
      <c r="B563" s="7" t="s">
        <v>432</v>
      </c>
      <c r="C563" t="str">
        <f>_xlfn.TEXTBEFORE(_xlfn.TEXTAFTER(Tabla1[[#This Row],[ENLACE]],"/",1),"/")</f>
        <v>switzerland</v>
      </c>
      <c r="D563" t="str">
        <f>Tabla1[[#This Row],[PAIS]]</f>
        <v>switzerland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atlanta-united-fc</v>
      </c>
      <c r="B564" t="s">
        <v>433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austin-fc</v>
      </c>
      <c r="B565" s="7" t="s">
        <v>434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club-de-foot-montreal</v>
      </c>
      <c r="B566" t="s">
        <v>435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charlotte-fc</v>
      </c>
      <c r="B567" s="7" t="s">
        <v>436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chicago-fire-fc</v>
      </c>
      <c r="B568" t="s">
        <v>437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fc-cincinnati</v>
      </c>
      <c r="B569" s="7" t="s">
        <v>438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colorado-rapids</v>
      </c>
      <c r="B570" t="s">
        <v>439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columbus-crew-sc</v>
      </c>
      <c r="B571" s="7" t="s">
        <v>440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dc-united</v>
      </c>
      <c r="B572" t="s">
        <v>441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fc-dallas</v>
      </c>
      <c r="B573" s="7" t="s">
        <v>442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houston-dynamo</v>
      </c>
      <c r="B574" t="s">
        <v>443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inter-miami-cf</v>
      </c>
      <c r="B575" s="7" t="s">
        <v>444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los-angeles-fc</v>
      </c>
      <c r="B576" t="s">
        <v>445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los-angeles-galaxy</v>
      </c>
      <c r="B577" s="7" t="s">
        <v>446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minnesota-united-fc</v>
      </c>
      <c r="B578" t="s">
        <v>447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nashville-sc</v>
      </c>
      <c r="B579" s="7" t="s">
        <v>448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new-england-revolution</v>
      </c>
      <c r="B580" t="s">
        <v>449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new-york-city-fc</v>
      </c>
      <c r="B581" s="7" t="s">
        <v>450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new-york-red-bulls</v>
      </c>
      <c r="B582" t="s">
        <v>451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orlando-city-sc</v>
      </c>
      <c r="B583" s="7" t="s">
        <v>452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philadelphia-union</v>
      </c>
      <c r="B584" t="s">
        <v>453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portland-timbers</v>
      </c>
      <c r="B585" s="7" t="s">
        <v>454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real-salt-lake</v>
      </c>
      <c r="B586" t="s">
        <v>455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san-diego-fc</v>
      </c>
      <c r="B587" s="7" t="s">
        <v>456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san-jose-earthquakes</v>
      </c>
      <c r="B588" t="s">
        <v>457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seattle-sounders-fc</v>
      </c>
      <c r="B589" s="7" t="s">
        <v>458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sporting-kansas-city</v>
      </c>
      <c r="B590" t="s">
        <v>459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st-louis-city-sc</v>
      </c>
      <c r="B591" s="7" t="s">
        <v>460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toronto-fc</v>
      </c>
      <c r="B592" t="s">
        <v>461</v>
      </c>
      <c r="C592" t="str">
        <f>_xlfn.TEXTBEFORE(_xlfn.TEXTAFTER(Tabla1[[#This Row],[ENLACE]],"/",1),"/")</f>
        <v>usa</v>
      </c>
      <c r="D592" t="str">
        <f>Tabla1[[#This Row],[PAIS]]</f>
        <v>usa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vancouver-whitecaps-fc</v>
      </c>
      <c r="B593" s="7" t="s">
        <v>462</v>
      </c>
      <c r="C593" t="str">
        <f>_xlfn.TEXTBEFORE(_xlfn.TEXTAFTER(Tabla1[[#This Row],[ENLACE]],"/",1),"/")</f>
        <v>usa</v>
      </c>
      <c r="D593" t="str">
        <f>Tabla1[[#This Row],[PAIS]]</f>
        <v>usa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bohemians-fc</v>
      </c>
      <c r="B594" t="s">
        <v>544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derry-city-fc</v>
      </c>
      <c r="B595" t="s">
        <v>545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drogheda-united-fc</v>
      </c>
      <c r="B596" t="s">
        <v>546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dundalk-fc</v>
      </c>
      <c r="B597" t="s">
        <v>547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galway-united-fc</v>
      </c>
      <c r="B598" t="s">
        <v>548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shamrock-rovers-fc</v>
      </c>
      <c r="B599" t="s">
        <v>549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shelbourne-fc</v>
      </c>
      <c r="B600" t="s">
        <v>550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sligo-rovers-fc</v>
      </c>
      <c r="B601" t="s">
        <v>551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st-patricks-athletic-fc</v>
      </c>
      <c r="B602" t="s">
        <v>552</v>
      </c>
      <c r="C602" t="str">
        <f>_xlfn.TEXTBEFORE(_xlfn.TEXTAFTER(Tabla1[[#This Row],[ENLACE]],"/",1),"/")</f>
        <v>ireland</v>
      </c>
      <c r="D602" t="str">
        <f>Tabla1[[#This Row],[PAIS]]</f>
        <v>ireland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waterford-fc</v>
      </c>
      <c r="B603" t="s">
        <v>553</v>
      </c>
      <c r="C603" t="str">
        <f>_xlfn.TEXTBEFORE(_xlfn.TEXTAFTER(Tabla1[[#This Row],[ENLACE]],"/",1),"/")</f>
        <v>ireland</v>
      </c>
      <c r="D603" t="str">
        <f>Tabla1[[#This Row],[PAIS]]</f>
        <v>ireland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al-ahly-sc</v>
      </c>
      <c r="B604" t="s">
        <v>554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al-ittihad-ac</v>
      </c>
      <c r="B605" t="s">
        <v>555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al-masry-sc</v>
      </c>
      <c r="B606" t="s">
        <v>556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arab-contractors-sc</v>
      </c>
      <c r="B607" t="s">
        <v>557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ceramica-cleopatra-fc</v>
      </c>
      <c r="B608" t="s">
        <v>558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talaea-el-gaish-sc</v>
      </c>
      <c r="B609" t="s">
        <v>559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el-gouna-fc</v>
      </c>
      <c r="B610" t="s">
        <v>560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enppi-sc</v>
      </c>
      <c r="B611" t="s">
        <v>561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ghazi-el-mahalla-sc</v>
      </c>
      <c r="B612" t="s">
        <v>562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haras-el-hodoud-sc</v>
      </c>
      <c r="B613" t="s">
        <v>563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ismaily-sc</v>
      </c>
      <c r="B614" t="s">
        <v>564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kahrabaa-ismailia-sc</v>
      </c>
      <c r="B615" t="s">
        <v>565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modern-sport-fc</v>
      </c>
      <c r="B616" t="s">
        <v>566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national-bank-of-egypt-sc</v>
      </c>
      <c r="B617" t="s">
        <v>567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petrojet-sc</v>
      </c>
      <c r="B618" t="s">
        <v>568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pharco-fc</v>
      </c>
      <c r="B619" t="s">
        <v>569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pyramids-fc</v>
      </c>
      <c r="B620" t="s">
        <v>570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smouha-sc</v>
      </c>
      <c r="B621" t="s">
        <v>571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wadi-degla-sc</v>
      </c>
      <c r="B622" t="s">
        <v>572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t="str">
        <f>MID(Tabla1[[#This Row],[ENLACE]],FIND("~",SUBSTITUTE(Tabla1[[#This Row],[ENLACE]],"/","~",2))+1,LEN(Tabla1[[#This Row],[ENLACE]]))</f>
        <v>zamalek-sc</v>
      </c>
      <c r="B623" t="s">
        <v>573</v>
      </c>
      <c r="C623" t="str">
        <f>_xlfn.TEXTBEFORE(_xlfn.TEXTAFTER(Tabla1[[#This Row],[ENLACE]],"/",1),"/")</f>
        <v>egypt</v>
      </c>
      <c r="D623" t="str">
        <f>Tabla1[[#This Row],[PAIS]]</f>
        <v>egypt</v>
      </c>
      <c r="E623" s="8" t="str">
        <f ca="1">IF(VLOOKUP(Tabla1[[#This Row],[PAIS]],$H$2:$I$34,2)="x","SI","NO")</f>
        <v>SI</v>
      </c>
    </row>
    <row r="624" spans="1:5" x14ac:dyDescent="0.3">
      <c r="A624" t="str">
        <f>MID(Tabla1[[#This Row],[ENLACE]],FIND("~",SUBSTITUTE(Tabla1[[#This Row],[ENLACE]],"/","~",2))+1,LEN(Tabla1[[#This Row],[ENLACE]]))</f>
        <v>zed-fc</v>
      </c>
      <c r="B624" t="s">
        <v>574</v>
      </c>
      <c r="C624" t="str">
        <f>_xlfn.TEXTBEFORE(_xlfn.TEXTAFTER(Tabla1[[#This Row],[ENLACE]],"/",1),"/")</f>
        <v>egypt</v>
      </c>
      <c r="D624" t="str">
        <f>Tabla1[[#This Row],[PAIS]]</f>
        <v>egypt</v>
      </c>
      <c r="E624" s="8" t="str">
        <f ca="1">IF(VLOOKUP(Tabla1[[#This Row],[PAIS]],$H$2:$I$34,2)="x","SI","NO")</f>
        <v>SI</v>
      </c>
    </row>
    <row r="625" spans="1:5" x14ac:dyDescent="0.3">
      <c r="A625" t="str">
        <f>MID(Tabla1[[#This Row],[ENLACE]],FIND("~",SUBSTITUTE(Tabla1[[#This Row],[ENLACE]],"/","~",2))+1,LEN(Tabla1[[#This Row],[ENLACE]]))</f>
        <v>aek-larnaca-fc</v>
      </c>
      <c r="B625" t="s">
        <v>629</v>
      </c>
      <c r="C625" t="str">
        <f>_xlfn.TEXTBEFORE(_xlfn.TEXTAFTER(Tabla1[[#This Row],[ENLACE]],"/",1),"/")</f>
        <v>cyprus</v>
      </c>
      <c r="D625" t="str">
        <f>Tabla1[[#This Row],[PAIS]]</f>
        <v>cyprus</v>
      </c>
      <c r="E625" s="8" t="str">
        <f ca="1">IF(VLOOKUP(Tabla1[[#This Row],[PAIS]],$H$2:$I$34,2)="x","SI","NO")</f>
        <v>SI</v>
      </c>
    </row>
    <row r="626" spans="1:5" x14ac:dyDescent="0.3">
      <c r="A626" t="str">
        <f>MID(Tabla1[[#This Row],[ENLACE]],FIND("~",SUBSTITUTE(Tabla1[[#This Row],[ENLACE]],"/","~",2))+1,LEN(Tabla1[[#This Row],[ENLACE]]))</f>
        <v>ael-limassol</v>
      </c>
      <c r="B626" t="s">
        <v>630</v>
      </c>
      <c r="C626" t="str">
        <f>_xlfn.TEXTBEFORE(_xlfn.TEXTAFTER(Tabla1[[#This Row],[ENLACE]],"/",1),"/")</f>
        <v>cyprus</v>
      </c>
      <c r="D626" t="str">
        <f>Tabla1[[#This Row],[PAIS]]</f>
        <v>cyprus</v>
      </c>
      <c r="E626" s="8" t="str">
        <f ca="1">IF(VLOOKUP(Tabla1[[#This Row],[PAIS]],$H$2:$I$34,2)="x","SI","NO")</f>
        <v>SI</v>
      </c>
    </row>
    <row r="627" spans="1:5" x14ac:dyDescent="0.3">
      <c r="A627" t="str">
        <f>MID(Tabla1[[#This Row],[ENLACE]],FIND("~",SUBSTITUTE(Tabla1[[#This Row],[ENLACE]],"/","~",2))+1,LEN(Tabla1[[#This Row],[ENLACE]]))</f>
        <v>anorthosis-famagusta-fc</v>
      </c>
      <c r="B627" t="s">
        <v>631</v>
      </c>
      <c r="C627" t="str">
        <f>_xlfn.TEXTBEFORE(_xlfn.TEXTAFTER(Tabla1[[#This Row],[ENLACE]],"/",1),"/")</f>
        <v>cyprus</v>
      </c>
      <c r="D627" t="str">
        <f>Tabla1[[#This Row],[PAIS]]</f>
        <v>cyprus</v>
      </c>
      <c r="E627" s="8" t="str">
        <f ca="1">IF(VLOOKUP(Tabla1[[#This Row],[PAIS]],$H$2:$I$34,2)="x","SI","NO")</f>
        <v>SI</v>
      </c>
    </row>
    <row r="628" spans="1:5" x14ac:dyDescent="0.3">
      <c r="A628" t="str">
        <f>MID(Tabla1[[#This Row],[ENLACE]],FIND("~",SUBSTITUTE(Tabla1[[#This Row],[ENLACE]],"/","~",2))+1,LEN(Tabla1[[#This Row],[ENLACE]]))</f>
        <v>apoel-fc</v>
      </c>
      <c r="B628" t="s">
        <v>632</v>
      </c>
      <c r="C628" t="str">
        <f>_xlfn.TEXTBEFORE(_xlfn.TEXTAFTER(Tabla1[[#This Row],[ENLACE]],"/",1),"/")</f>
        <v>cyprus</v>
      </c>
      <c r="D628" t="str">
        <f>Tabla1[[#This Row],[PAIS]]</f>
        <v>cyprus</v>
      </c>
      <c r="E628" s="8" t="str">
        <f ca="1">IF(VLOOKUP(Tabla1[[#This Row],[PAIS]],$H$2:$I$34,2)="x","SI","NO")</f>
        <v>SI</v>
      </c>
    </row>
    <row r="629" spans="1:5" x14ac:dyDescent="0.3">
      <c r="A629" t="str">
        <f>MID(Tabla1[[#This Row],[ENLACE]],FIND("~",SUBSTITUTE(Tabla1[[#This Row],[ENLACE]],"/","~",2))+1,LEN(Tabla1[[#This Row],[ENLACE]]))</f>
        <v>apollon-limassol</v>
      </c>
      <c r="B629" t="s">
        <v>633</v>
      </c>
      <c r="C629" t="str">
        <f>_xlfn.TEXTBEFORE(_xlfn.TEXTAFTER(Tabla1[[#This Row],[ENLACE]],"/",1),"/")</f>
        <v>cyprus</v>
      </c>
      <c r="D629" t="str">
        <f>Tabla1[[#This Row],[PAIS]]</f>
        <v>cyprus</v>
      </c>
      <c r="E629" s="8" t="str">
        <f ca="1">IF(VLOOKUP(Tabla1[[#This Row],[PAIS]],$H$2:$I$34,2)="x","SI","NO")</f>
        <v>SI</v>
      </c>
    </row>
    <row r="630" spans="1:5" x14ac:dyDescent="0.3">
      <c r="A630" t="str">
        <f>MID(Tabla1[[#This Row],[ENLACE]],FIND("~",SUBSTITUTE(Tabla1[[#This Row],[ENLACE]],"/","~",2))+1,LEN(Tabla1[[#This Row],[ENLACE]]))</f>
        <v>aris-limassol-fc</v>
      </c>
      <c r="B630" t="s">
        <v>634</v>
      </c>
      <c r="C630" t="str">
        <f>_xlfn.TEXTBEFORE(_xlfn.TEXTAFTER(Tabla1[[#This Row],[ENLACE]],"/",1),"/")</f>
        <v>cyprus</v>
      </c>
      <c r="D630" t="str">
        <f>Tabla1[[#This Row],[PAIS]]</f>
        <v>cyprus</v>
      </c>
      <c r="E630" s="8" t="str">
        <f ca="1">IF(VLOOKUP(Tabla1[[#This Row],[PAIS]],$H$2:$I$34,2)="x","SI","NO")</f>
        <v>SI</v>
      </c>
    </row>
    <row r="631" spans="1:5" x14ac:dyDescent="0.3">
      <c r="A631" t="str">
        <f>MID(Tabla1[[#This Row],[ENLACE]],FIND("~",SUBSTITUTE(Tabla1[[#This Row],[ENLACE]],"/","~",2))+1,LEN(Tabla1[[#This Row],[ENLACE]]))</f>
        <v>karmiotissa-fc</v>
      </c>
      <c r="B631" t="s">
        <v>635</v>
      </c>
      <c r="C631" t="str">
        <f>_xlfn.TEXTBEFORE(_xlfn.TEXTAFTER(Tabla1[[#This Row],[ENLACE]],"/",1),"/")</f>
        <v>cyprus</v>
      </c>
      <c r="D631" t="str">
        <f>Tabla1[[#This Row],[PAIS]]</f>
        <v>cyprus</v>
      </c>
      <c r="E631" s="8" t="str">
        <f ca="1">IF(VLOOKUP(Tabla1[[#This Row],[PAIS]],$H$2:$I$34,2)="x","SI","NO")</f>
        <v>SI</v>
      </c>
    </row>
    <row r="632" spans="1:5" x14ac:dyDescent="0.3">
      <c r="A632" t="str">
        <f>MID(Tabla1[[#This Row],[ENLACE]],FIND("~",SUBSTITUTE(Tabla1[[#This Row],[ENLACE]],"/","~",2))+1,LEN(Tabla1[[#This Row],[ENLACE]]))</f>
        <v>krasava-eny-ypsonas-fc</v>
      </c>
      <c r="B632" t="s">
        <v>636</v>
      </c>
      <c r="C632" t="str">
        <f>_xlfn.TEXTBEFORE(_xlfn.TEXTAFTER(Tabla1[[#This Row],[ENLACE]],"/",1),"/")</f>
        <v>cyprus</v>
      </c>
      <c r="D632" t="str">
        <f>Tabla1[[#This Row],[PAIS]]</f>
        <v>cyprus</v>
      </c>
      <c r="E632" s="8" t="str">
        <f ca="1">IF(VLOOKUP(Tabla1[[#This Row],[PAIS]],$H$2:$I$34,2)="x","SI","NO")</f>
        <v>SI</v>
      </c>
    </row>
    <row r="633" spans="1:5" x14ac:dyDescent="0.3">
      <c r="A633" t="str">
        <f>MID(Tabla1[[#This Row],[ENLACE]],FIND("~",SUBSTITUTE(Tabla1[[#This Row],[ENLACE]],"/","~",2))+1,LEN(Tabla1[[#This Row],[ENLACE]]))</f>
        <v>nea-salamis-famagusta-fc</v>
      </c>
      <c r="B633" t="s">
        <v>637</v>
      </c>
      <c r="C633" t="str">
        <f>_xlfn.TEXTBEFORE(_xlfn.TEXTAFTER(Tabla1[[#This Row],[ENLACE]],"/",1),"/")</f>
        <v>cyprus</v>
      </c>
      <c r="D633" t="str">
        <f>Tabla1[[#This Row],[PAIS]]</f>
        <v>cyprus</v>
      </c>
      <c r="E633" s="8" t="str">
        <f ca="1">IF(VLOOKUP(Tabla1[[#This Row],[PAIS]],$H$2:$I$34,2)="x","SI","NO")</f>
        <v>SI</v>
      </c>
    </row>
    <row r="634" spans="1:5" x14ac:dyDescent="0.3">
      <c r="A634" t="str">
        <f>MID(Tabla1[[#This Row],[ENLACE]],FIND("~",SUBSTITUTE(Tabla1[[#This Row],[ENLACE]],"/","~",2))+1,LEN(Tabla1[[#This Row],[ENLACE]]))</f>
        <v>olympiakos-nicosia</v>
      </c>
      <c r="B634" t="s">
        <v>638</v>
      </c>
      <c r="C634" t="str">
        <f>_xlfn.TEXTBEFORE(_xlfn.TEXTAFTER(Tabla1[[#This Row],[ENLACE]],"/",1),"/")</f>
        <v>cyprus</v>
      </c>
      <c r="D634" t="str">
        <f>Tabla1[[#This Row],[PAIS]]</f>
        <v>cyprus</v>
      </c>
      <c r="E634" s="8" t="str">
        <f ca="1">IF(VLOOKUP(Tabla1[[#This Row],[PAIS]],$H$2:$I$34,2)="x","SI","NO")</f>
        <v>SI</v>
      </c>
    </row>
    <row r="635" spans="1:5" x14ac:dyDescent="0.3">
      <c r="A635" t="str">
        <f>MID(Tabla1[[#This Row],[ENLACE]],FIND("~",SUBSTITUTE(Tabla1[[#This Row],[ENLACE]],"/","~",2))+1,LEN(Tabla1[[#This Row],[ENLACE]]))</f>
        <v>ac-omonia</v>
      </c>
      <c r="B635" t="s">
        <v>639</v>
      </c>
      <c r="C635" t="str">
        <f>_xlfn.TEXTBEFORE(_xlfn.TEXTAFTER(Tabla1[[#This Row],[ENLACE]],"/",1),"/")</f>
        <v>cyprus</v>
      </c>
      <c r="D635" t="str">
        <f>Tabla1[[#This Row],[PAIS]]</f>
        <v>cyprus</v>
      </c>
      <c r="E635" s="8" t="str">
        <f ca="1">IF(VLOOKUP(Tabla1[[#This Row],[PAIS]],$H$2:$I$34,2)="x","SI","NO")</f>
        <v>SI</v>
      </c>
    </row>
    <row r="636" spans="1:5" x14ac:dyDescent="0.3">
      <c r="A636" t="str">
        <f>MID(Tabla1[[#This Row],[ENLACE]],FIND("~",SUBSTITUTE(Tabla1[[#This Row],[ENLACE]],"/","~",2))+1,LEN(Tabla1[[#This Row],[ENLACE]]))</f>
        <v>pac-omonia-29m</v>
      </c>
      <c r="B636" t="s">
        <v>640</v>
      </c>
      <c r="C636" t="str">
        <f>_xlfn.TEXTBEFORE(_xlfn.TEXTAFTER(Tabla1[[#This Row],[ENLACE]],"/",1),"/")</f>
        <v>cyprus</v>
      </c>
      <c r="D636" t="str">
        <f>Tabla1[[#This Row],[PAIS]]</f>
        <v>cyprus</v>
      </c>
      <c r="E636" s="8" t="str">
        <f ca="1">IF(VLOOKUP(Tabla1[[#This Row],[PAIS]],$H$2:$I$34,2)="x","SI","NO")</f>
        <v>SI</v>
      </c>
    </row>
    <row r="637" spans="1:5" x14ac:dyDescent="0.3">
      <c r="A637" t="str">
        <f>MID(Tabla1[[#This Row],[ENLACE]],FIND("~",SUBSTITUTE(Tabla1[[#This Row],[ENLACE]],"/","~",2))+1,LEN(Tabla1[[#This Row],[ENLACE]]))</f>
        <v>omonia-aradippou</v>
      </c>
      <c r="B637" t="s">
        <v>641</v>
      </c>
      <c r="C637" t="str">
        <f>_xlfn.TEXTBEFORE(_xlfn.TEXTAFTER(Tabla1[[#This Row],[ENLACE]],"/",1),"/")</f>
        <v>cyprus</v>
      </c>
      <c r="D637" t="str">
        <f>Tabla1[[#This Row],[PAIS]]</f>
        <v>cyprus</v>
      </c>
      <c r="E637" s="8" t="str">
        <f ca="1">IF(VLOOKUP(Tabla1[[#This Row],[PAIS]],$H$2:$I$34,2)="x","SI","NO")</f>
        <v>SI</v>
      </c>
    </row>
    <row r="638" spans="1:5" x14ac:dyDescent="0.3">
      <c r="A638" t="str">
        <f>MID(Tabla1[[#This Row],[ENLACE]],FIND("~",SUBSTITUTE(Tabla1[[#This Row],[ENLACE]],"/","~",2))+1,LEN(Tabla1[[#This Row],[ENLACE]]))</f>
        <v>pafos-fc</v>
      </c>
      <c r="B638" t="s">
        <v>642</v>
      </c>
      <c r="C638" t="str">
        <f>_xlfn.TEXTBEFORE(_xlfn.TEXTAFTER(Tabla1[[#This Row],[ENLACE]],"/",1),"/")</f>
        <v>cyprus</v>
      </c>
      <c r="D638" t="str">
        <f>Tabla1[[#This Row],[PAIS]]</f>
        <v>cyprus</v>
      </c>
      <c r="E638" s="8" t="str">
        <f ca="1">IF(VLOOKUP(Tabla1[[#This Row],[PAIS]],$H$2:$I$34,2)="x","SI","NO")</f>
        <v>SI</v>
      </c>
    </row>
    <row r="639" spans="1:5" x14ac:dyDescent="0.3">
      <c r="A639" t="str">
        <f>MID(Tabla1[[#This Row],[ENLACE]],FIND("~",SUBSTITUTE(Tabla1[[#This Row],[ENLACE]],"/","~",2))+1,LEN(Tabla1[[#This Row],[ENLACE]]))</f>
        <v>debrecen</v>
      </c>
      <c r="B639" t="s">
        <v>643</v>
      </c>
      <c r="C639" t="str">
        <f>_xlfn.TEXTBEFORE(_xlfn.TEXTAFTER(Tabla1[[#This Row],[ENLACE]],"/",1),"/")</f>
        <v>hungary</v>
      </c>
      <c r="D639" t="str">
        <f>Tabla1[[#This Row],[PAIS]]</f>
        <v>hungary</v>
      </c>
      <c r="E639" s="8" t="str">
        <f ca="1">IF(VLOOKUP(Tabla1[[#This Row],[PAIS]],$H$2:$I$34,2)="x","SI","NO")</f>
        <v>SI</v>
      </c>
    </row>
    <row r="640" spans="1:5" x14ac:dyDescent="0.3">
      <c r="A640" t="str">
        <f>MID(Tabla1[[#This Row],[ENLACE]],FIND("~",SUBSTITUTE(Tabla1[[#This Row],[ENLACE]],"/","~",2))+1,LEN(Tabla1[[#This Row],[ENLACE]]))</f>
        <v>ferencvaros</v>
      </c>
      <c r="B640" t="s">
        <v>644</v>
      </c>
      <c r="C640" t="str">
        <f>_xlfn.TEXTBEFORE(_xlfn.TEXTAFTER(Tabla1[[#This Row],[ENLACE]],"/",1),"/")</f>
        <v>hungary</v>
      </c>
      <c r="D640" t="str">
        <f>Tabla1[[#This Row],[PAIS]]</f>
        <v>hungary</v>
      </c>
      <c r="E640" s="8" t="str">
        <f ca="1">IF(VLOOKUP(Tabla1[[#This Row],[PAIS]],$H$2:$I$34,2)="x","SI","NO")</f>
        <v>SI</v>
      </c>
    </row>
    <row r="641" spans="1:5" x14ac:dyDescent="0.3">
      <c r="A641" t="str">
        <f>MID(Tabla1[[#This Row],[ENLACE]],FIND("~",SUBSTITUTE(Tabla1[[#This Row],[ENLACE]],"/","~",2))+1,LEN(Tabla1[[#This Row],[ENLACE]]))</f>
        <v>gyori-eto-fc</v>
      </c>
      <c r="B641" t="s">
        <v>645</v>
      </c>
      <c r="C641" t="str">
        <f>_xlfn.TEXTBEFORE(_xlfn.TEXTAFTER(Tabla1[[#This Row],[ENLACE]],"/",1),"/")</f>
        <v>hungary</v>
      </c>
      <c r="D641" t="str">
        <f>Tabla1[[#This Row],[PAIS]]</f>
        <v>hungary</v>
      </c>
      <c r="E641" s="8" t="str">
        <f ca="1">IF(VLOOKUP(Tabla1[[#This Row],[PAIS]],$H$2:$I$34,2)="x","SI","NO")</f>
        <v>SI</v>
      </c>
    </row>
    <row r="642" spans="1:5" x14ac:dyDescent="0.3">
      <c r="A642" t="str">
        <f>MID(Tabla1[[#This Row],[ENLACE]],FIND("~",SUBSTITUTE(Tabla1[[#This Row],[ENLACE]],"/","~",2))+1,LEN(Tabla1[[#This Row],[ENLACE]]))</f>
        <v>budapest-honved-fc</v>
      </c>
      <c r="B642" t="s">
        <v>646</v>
      </c>
      <c r="C642" t="str">
        <f>_xlfn.TEXTBEFORE(_xlfn.TEXTAFTER(Tabla1[[#This Row],[ENLACE]],"/",1),"/")</f>
        <v>hungary</v>
      </c>
      <c r="D642" t="str">
        <f>Tabla1[[#This Row],[PAIS]]</f>
        <v>hungary</v>
      </c>
      <c r="E642" s="8" t="str">
        <f ca="1">IF(VLOOKUP(Tabla1[[#This Row],[PAIS]],$H$2:$I$34,2)="x","SI","NO")</f>
        <v>SI</v>
      </c>
    </row>
    <row r="643" spans="1:5" x14ac:dyDescent="0.3">
      <c r="A643" t="str">
        <f>MID(Tabla1[[#This Row],[ENLACE]],FIND("~",SUBSTITUTE(Tabla1[[#This Row],[ENLACE]],"/","~",2))+1,LEN(Tabla1[[#This Row],[ENLACE]]))</f>
        <v>kisvarda-fc</v>
      </c>
      <c r="B643" t="s">
        <v>647</v>
      </c>
      <c r="C643" t="str">
        <f>_xlfn.TEXTBEFORE(_xlfn.TEXTAFTER(Tabla1[[#This Row],[ENLACE]],"/",1),"/")</f>
        <v>hungary</v>
      </c>
      <c r="D643" t="str">
        <f>Tabla1[[#This Row],[PAIS]]</f>
        <v>hungary</v>
      </c>
      <c r="E643" s="8" t="str">
        <f ca="1">IF(VLOOKUP(Tabla1[[#This Row],[PAIS]],$H$2:$I$34,2)="x","SI","NO")</f>
        <v>SI</v>
      </c>
    </row>
    <row r="644" spans="1:5" x14ac:dyDescent="0.3">
      <c r="A644" t="str">
        <f>MID(Tabla1[[#This Row],[ENLACE]],FIND("~",SUBSTITUTE(Tabla1[[#This Row],[ENLACE]],"/","~",2))+1,LEN(Tabla1[[#This Row],[ENLACE]]))</f>
        <v>mtk-budapest-fc</v>
      </c>
      <c r="B644" t="s">
        <v>648</v>
      </c>
      <c r="C644" t="str">
        <f>_xlfn.TEXTBEFORE(_xlfn.TEXTAFTER(Tabla1[[#This Row],[ENLACE]],"/",1),"/")</f>
        <v>hungary</v>
      </c>
      <c r="D644" t="str">
        <f>Tabla1[[#This Row],[PAIS]]</f>
        <v>hungary</v>
      </c>
      <c r="E644" s="8" t="str">
        <f ca="1">IF(VLOOKUP(Tabla1[[#This Row],[PAIS]],$H$2:$I$34,2)="x","SI","NO")</f>
        <v>SI</v>
      </c>
    </row>
    <row r="645" spans="1:5" x14ac:dyDescent="0.3">
      <c r="A645" t="str">
        <f>MID(Tabla1[[#This Row],[ENLACE]],FIND("~",SUBSTITUTE(Tabla1[[#This Row],[ENLACE]],"/","~",2))+1,LEN(Tabla1[[#This Row],[ENLACE]]))</f>
        <v>nyiregyhaza-spartacus-fc</v>
      </c>
      <c r="B645" t="s">
        <v>649</v>
      </c>
      <c r="C645" t="str">
        <f>_xlfn.TEXTBEFORE(_xlfn.TEXTAFTER(Tabla1[[#This Row],[ENLACE]],"/",1),"/")</f>
        <v>hungary</v>
      </c>
      <c r="D645" t="str">
        <f>Tabla1[[#This Row],[PAIS]]</f>
        <v>hungary</v>
      </c>
      <c r="E645" s="8" t="str">
        <f ca="1">IF(VLOOKUP(Tabla1[[#This Row],[PAIS]],$H$2:$I$34,2)="x","SI","NO")</f>
        <v>SI</v>
      </c>
    </row>
    <row r="646" spans="1:5" x14ac:dyDescent="0.3">
      <c r="A646" t="str">
        <f>MID(Tabla1[[#This Row],[ENLACE]],FIND("~",SUBSTITUTE(Tabla1[[#This Row],[ENLACE]],"/","~",2))+1,LEN(Tabla1[[#This Row],[ENLACE]]))</f>
        <v>paksi-fc</v>
      </c>
      <c r="B646" t="s">
        <v>650</v>
      </c>
      <c r="C646" t="str">
        <f>_xlfn.TEXTBEFORE(_xlfn.TEXTAFTER(Tabla1[[#This Row],[ENLACE]],"/",1),"/")</f>
        <v>hungary</v>
      </c>
      <c r="D646" t="str">
        <f>Tabla1[[#This Row],[PAIS]]</f>
        <v>hungary</v>
      </c>
      <c r="E646" s="8" t="str">
        <f ca="1">IF(VLOOKUP(Tabla1[[#This Row],[PAIS]],$H$2:$I$34,2)="x","SI","NO")</f>
        <v>SI</v>
      </c>
    </row>
    <row r="647" spans="1:5" x14ac:dyDescent="0.3">
      <c r="A647" t="str">
        <f>MID(Tabla1[[#This Row],[ENLACE]],FIND("~",SUBSTITUTE(Tabla1[[#This Row],[ENLACE]],"/","~",2))+1,LEN(Tabla1[[#This Row],[ENLACE]]))</f>
        <v>puskas-akademia-fc</v>
      </c>
      <c r="B647" t="s">
        <v>651</v>
      </c>
      <c r="C647" t="str">
        <f>_xlfn.TEXTBEFORE(_xlfn.TEXTAFTER(Tabla1[[#This Row],[ENLACE]],"/",1),"/")</f>
        <v>hungary</v>
      </c>
      <c r="D647" t="str">
        <f>Tabla1[[#This Row],[PAIS]]</f>
        <v>hungary</v>
      </c>
      <c r="E647" s="8" t="str">
        <f ca="1">IF(VLOOKUP(Tabla1[[#This Row],[PAIS]],$H$2:$I$34,2)="x","SI","NO")</f>
        <v>SI</v>
      </c>
    </row>
    <row r="648" spans="1:5" x14ac:dyDescent="0.3">
      <c r="A648" t="str">
        <f>MID(Tabla1[[#This Row],[ENLACE]],FIND("~",SUBSTITUTE(Tabla1[[#This Row],[ENLACE]],"/","~",2))+1,LEN(Tabla1[[#This Row],[ENLACE]]))</f>
        <v>ujpest-fc</v>
      </c>
      <c r="B648" t="s">
        <v>652</v>
      </c>
      <c r="C648" t="str">
        <f>_xlfn.TEXTBEFORE(_xlfn.TEXTAFTER(Tabla1[[#This Row],[ENLACE]],"/",1),"/")</f>
        <v>hungary</v>
      </c>
      <c r="D648" t="str">
        <f>Tabla1[[#This Row],[PAIS]]</f>
        <v>hungary</v>
      </c>
      <c r="E648" s="8" t="str">
        <f ca="1">IF(VLOOKUP(Tabla1[[#This Row],[PAIS]],$H$2:$I$34,2)="x","SI","NO")</f>
        <v>SI</v>
      </c>
    </row>
    <row r="649" spans="1:5" x14ac:dyDescent="0.3">
      <c r="A649" t="str">
        <f>MID(Tabla1[[#This Row],[ENLACE]],FIND("~",SUBSTITUTE(Tabla1[[#This Row],[ENLACE]],"/","~",2))+1,LEN(Tabla1[[#This Row],[ENLACE]]))</f>
        <v>vasas-sc</v>
      </c>
      <c r="B649" t="s">
        <v>653</v>
      </c>
      <c r="C649" t="str">
        <f>_xlfn.TEXTBEFORE(_xlfn.TEXTAFTER(Tabla1[[#This Row],[ENLACE]],"/",1),"/")</f>
        <v>hungary</v>
      </c>
      <c r="D649" t="str">
        <f>Tabla1[[#This Row],[PAIS]]</f>
        <v>hungary</v>
      </c>
      <c r="E649" s="8" t="str">
        <f ca="1">IF(VLOOKUP(Tabla1[[#This Row],[PAIS]],$H$2:$I$34,2)="x","SI","NO")</f>
        <v>SI</v>
      </c>
    </row>
    <row r="650" spans="1:5" x14ac:dyDescent="0.3">
      <c r="A650" t="str">
        <f>MID(Tabla1[[#This Row],[ENLACE]],FIND("~",SUBSTITUTE(Tabla1[[#This Row],[ENLACE]],"/","~",2))+1,LEN(Tabla1[[#This Row],[ENLACE]]))</f>
        <v>zalaegerszeg-te</v>
      </c>
      <c r="B650" t="s">
        <v>654</v>
      </c>
      <c r="C650" t="str">
        <f>_xlfn.TEXTBEFORE(_xlfn.TEXTAFTER(Tabla1[[#This Row],[ENLACE]],"/",1),"/")</f>
        <v>hungary</v>
      </c>
      <c r="D650" t="str">
        <f>Tabla1[[#This Row],[PAIS]]</f>
        <v>hungary</v>
      </c>
      <c r="E650" s="8" t="str">
        <f ca="1">IF(VLOOKUP(Tabla1[[#This Row],[PAIS]],$H$2:$I$34,2)="x","SI","NO")</f>
        <v>SI</v>
      </c>
    </row>
    <row r="651" spans="1:5" x14ac:dyDescent="0.3">
      <c r="A651" t="str">
        <f>MID(Tabla1[[#This Row],[ENLACE]],FIND("~",SUBSTITUTE(Tabla1[[#This Row],[ENLACE]],"/","~",2))+1,LEN(Tabla1[[#This Row],[ENLACE]]))</f>
        <v>albion-fc</v>
      </c>
      <c r="B651" t="s">
        <v>655</v>
      </c>
      <c r="C651" t="str">
        <f>_xlfn.TEXTBEFORE(_xlfn.TEXTAFTER(Tabla1[[#This Row],[ENLACE]],"/",1),"/")</f>
        <v>uruguay</v>
      </c>
      <c r="D651" t="str">
        <f>Tabla1[[#This Row],[PAIS]]</f>
        <v>uruguay</v>
      </c>
      <c r="E651" s="8" t="str">
        <f ca="1">IF(VLOOKUP(Tabla1[[#This Row],[PAIS]],$H$2:$I$34,2)="x","SI","NO")</f>
        <v>SI</v>
      </c>
    </row>
    <row r="652" spans="1:5" x14ac:dyDescent="0.3">
      <c r="A652" t="str">
        <f>MID(Tabla1[[#This Row],[ENLACE]],FIND("~",SUBSTITUTE(Tabla1[[#This Row],[ENLACE]],"/","~",2))+1,LEN(Tabla1[[#This Row],[ENLACE]]))</f>
        <v>boston-river</v>
      </c>
      <c r="B652" t="s">
        <v>656</v>
      </c>
      <c r="C652" t="str">
        <f>_xlfn.TEXTBEFORE(_xlfn.TEXTAFTER(Tabla1[[#This Row],[ENLACE]],"/",1),"/")</f>
        <v>uruguay</v>
      </c>
      <c r="D652" t="str">
        <f>Tabla1[[#This Row],[PAIS]]</f>
        <v>uruguay</v>
      </c>
      <c r="E652" s="8" t="str">
        <f ca="1">IF(VLOOKUP(Tabla1[[#This Row],[PAIS]],$H$2:$I$34,2)="x","SI","NO")</f>
        <v>SI</v>
      </c>
    </row>
    <row r="653" spans="1:5" x14ac:dyDescent="0.3">
      <c r="A653" t="str">
        <f>MID(Tabla1[[#This Row],[ENLACE]],FIND("~",SUBSTITUTE(Tabla1[[#This Row],[ENLACE]],"/","~",2))+1,LEN(Tabla1[[#This Row],[ENLACE]]))</f>
        <v>central-espanol</v>
      </c>
      <c r="B653" t="s">
        <v>657</v>
      </c>
      <c r="C653" t="str">
        <f>_xlfn.TEXTBEFORE(_xlfn.TEXTAFTER(Tabla1[[#This Row],[ENLACE]],"/",1),"/")</f>
        <v>uruguay</v>
      </c>
      <c r="D653" t="str">
        <f>Tabla1[[#This Row],[PAIS]]</f>
        <v>uruguay</v>
      </c>
      <c r="E653" s="8" t="str">
        <f ca="1">IF(VLOOKUP(Tabla1[[#This Row],[PAIS]],$H$2:$I$34,2)="x","SI","NO")</f>
        <v>SI</v>
      </c>
    </row>
    <row r="654" spans="1:5" x14ac:dyDescent="0.3">
      <c r="A654" t="str">
        <f>MID(Tabla1[[#This Row],[ENLACE]],FIND("~",SUBSTITUTE(Tabla1[[#This Row],[ENLACE]],"/","~",2))+1,LEN(Tabla1[[#This Row],[ENLACE]]))</f>
        <v>club-atletico-cerro</v>
      </c>
      <c r="B654" t="s">
        <v>658</v>
      </c>
      <c r="C654" t="str">
        <f>_xlfn.TEXTBEFORE(_xlfn.TEXTAFTER(Tabla1[[#This Row],[ENLACE]],"/",1),"/")</f>
        <v>uruguay</v>
      </c>
      <c r="D654" t="str">
        <f>Tabla1[[#This Row],[PAIS]]</f>
        <v>uruguay</v>
      </c>
      <c r="E654" s="8" t="str">
        <f ca="1">IF(VLOOKUP(Tabla1[[#This Row],[PAIS]],$H$2:$I$34,2)="x","SI","NO")</f>
        <v>SI</v>
      </c>
    </row>
    <row r="655" spans="1:5" x14ac:dyDescent="0.3">
      <c r="A655" t="str">
        <f>MID(Tabla1[[#This Row],[ENLACE]],FIND("~",SUBSTITUTE(Tabla1[[#This Row],[ENLACE]],"/","~",2))+1,LEN(Tabla1[[#This Row],[ENLACE]]))</f>
        <v>cerro-largo-fc</v>
      </c>
      <c r="B655" t="s">
        <v>659</v>
      </c>
      <c r="C655" t="str">
        <f>_xlfn.TEXTBEFORE(_xlfn.TEXTAFTER(Tabla1[[#This Row],[ENLACE]],"/",1),"/")</f>
        <v>uruguay</v>
      </c>
      <c r="D655" t="str">
        <f>Tabla1[[#This Row],[PAIS]]</f>
        <v>uruguay</v>
      </c>
      <c r="E655" s="8" t="str">
        <f ca="1">IF(VLOOKUP(Tabla1[[#This Row],[PAIS]],$H$2:$I$34,2)="x","SI","NO")</f>
        <v>SI</v>
      </c>
    </row>
    <row r="656" spans="1:5" x14ac:dyDescent="0.3">
      <c r="A656" t="str">
        <f>MID(Tabla1[[#This Row],[ENLACE]],FIND("~",SUBSTITUTE(Tabla1[[#This Row],[ENLACE]],"/","~",2))+1,LEN(Tabla1[[#This Row],[ENLACE]]))</f>
        <v>danubio-fc</v>
      </c>
      <c r="B656" t="s">
        <v>660</v>
      </c>
      <c r="C656" t="str">
        <f>_xlfn.TEXTBEFORE(_xlfn.TEXTAFTER(Tabla1[[#This Row],[ENLACE]],"/",1),"/")</f>
        <v>uruguay</v>
      </c>
      <c r="D656" t="str">
        <f>Tabla1[[#This Row],[PAIS]]</f>
        <v>uruguay</v>
      </c>
      <c r="E656" s="8" t="str">
        <f ca="1">IF(VLOOKUP(Tabla1[[#This Row],[PAIS]],$H$2:$I$34,2)="x","SI","NO")</f>
        <v>SI</v>
      </c>
    </row>
    <row r="657" spans="1:5" x14ac:dyDescent="0.3">
      <c r="A657" t="str">
        <f>MID(Tabla1[[#This Row],[ENLACE]],FIND("~",SUBSTITUTE(Tabla1[[#This Row],[ENLACE]],"/","~",2))+1,LEN(Tabla1[[#This Row],[ENLACE]]))</f>
        <v>defensor-sporting</v>
      </c>
      <c r="B657" t="s">
        <v>661</v>
      </c>
      <c r="C657" t="str">
        <f>_xlfn.TEXTBEFORE(_xlfn.TEXTAFTER(Tabla1[[#This Row],[ENLACE]],"/",1),"/")</f>
        <v>uruguay</v>
      </c>
      <c r="D657" t="str">
        <f>Tabla1[[#This Row],[PAIS]]</f>
        <v>uruguay</v>
      </c>
      <c r="E657" s="8" t="str">
        <f ca="1">IF(VLOOKUP(Tabla1[[#This Row],[PAIS]],$H$2:$I$34,2)="x","SI","NO")</f>
        <v>SI</v>
      </c>
    </row>
    <row r="658" spans="1:5" x14ac:dyDescent="0.3">
      <c r="A658" t="str">
        <f>MID(Tabla1[[#This Row],[ENLACE]],FIND("~",SUBSTITUTE(Tabla1[[#This Row],[ENLACE]],"/","~",2))+1,LEN(Tabla1[[#This Row],[ENLACE]]))</f>
        <v>juventud-de-las-piedras</v>
      </c>
      <c r="B658" t="s">
        <v>662</v>
      </c>
      <c r="C658" t="str">
        <f>_xlfn.TEXTBEFORE(_xlfn.TEXTAFTER(Tabla1[[#This Row],[ENLACE]],"/",1),"/")</f>
        <v>uruguay</v>
      </c>
      <c r="D658" t="str">
        <f>Tabla1[[#This Row],[PAIS]]</f>
        <v>uruguay</v>
      </c>
      <c r="E658" s="8" t="str">
        <f ca="1">IF(VLOOKUP(Tabla1[[#This Row],[PAIS]],$H$2:$I$34,2)="x","SI","NO")</f>
        <v>SI</v>
      </c>
    </row>
    <row r="659" spans="1:5" x14ac:dyDescent="0.3">
      <c r="A659" t="str">
        <f>MID(Tabla1[[#This Row],[ENLACE]],FIND("~",SUBSTITUTE(Tabla1[[#This Row],[ENLACE]],"/","~",2))+1,LEN(Tabla1[[#This Row],[ENLACE]]))</f>
        <v>liverpool-fc-montevideo</v>
      </c>
      <c r="B659" t="s">
        <v>663</v>
      </c>
      <c r="C659" t="str">
        <f>_xlfn.TEXTBEFORE(_xlfn.TEXTAFTER(Tabla1[[#This Row],[ENLACE]],"/",1),"/")</f>
        <v>uruguay</v>
      </c>
      <c r="D659" t="str">
        <f>Tabla1[[#This Row],[PAIS]]</f>
        <v>uruguay</v>
      </c>
      <c r="E659" s="8" t="str">
        <f ca="1">IF(VLOOKUP(Tabla1[[#This Row],[PAIS]],$H$2:$I$34,2)="x","SI","NO")</f>
        <v>SI</v>
      </c>
    </row>
    <row r="660" spans="1:5" x14ac:dyDescent="0.3">
      <c r="A660" t="str">
        <f>MID(Tabla1[[#This Row],[ENLACE]],FIND("~",SUBSTITUTE(Tabla1[[#This Row],[ENLACE]],"/","~",2))+1,LEN(Tabla1[[#This Row],[ENLACE]]))</f>
        <v>deportivo-maldonado</v>
      </c>
      <c r="B660" t="s">
        <v>664</v>
      </c>
      <c r="C660" t="str">
        <f>_xlfn.TEXTBEFORE(_xlfn.TEXTAFTER(Tabla1[[#This Row],[ENLACE]],"/",1),"/")</f>
        <v>uruguay</v>
      </c>
      <c r="D660" t="str">
        <f>Tabla1[[#This Row],[PAIS]]</f>
        <v>uruguay</v>
      </c>
      <c r="E660" s="8" t="str">
        <f ca="1">IF(VLOOKUP(Tabla1[[#This Row],[PAIS]],$H$2:$I$34,2)="x","SI","NO")</f>
        <v>SI</v>
      </c>
    </row>
    <row r="661" spans="1:5" x14ac:dyDescent="0.3">
      <c r="A661" t="str">
        <f>MID(Tabla1[[#This Row],[ENLACE]],FIND("~",SUBSTITUTE(Tabla1[[#This Row],[ENLACE]],"/","~",2))+1,LEN(Tabla1[[#This Row],[ENLACE]]))</f>
        <v>montevideo-city-torque</v>
      </c>
      <c r="B661" t="s">
        <v>665</v>
      </c>
      <c r="C661" t="str">
        <f>_xlfn.TEXTBEFORE(_xlfn.TEXTAFTER(Tabla1[[#This Row],[ENLACE]],"/",1),"/")</f>
        <v>uruguay</v>
      </c>
      <c r="D661" t="str">
        <f>Tabla1[[#This Row],[PAIS]]</f>
        <v>uruguay</v>
      </c>
      <c r="E661" s="8" t="str">
        <f ca="1">IF(VLOOKUP(Tabla1[[#This Row],[PAIS]],$H$2:$I$34,2)="x","SI","NO")</f>
        <v>SI</v>
      </c>
    </row>
    <row r="662" spans="1:5" x14ac:dyDescent="0.3">
      <c r="A662" t="str">
        <f>MID(Tabla1[[#This Row],[ENLACE]],FIND("~",SUBSTITUTE(Tabla1[[#This Row],[ENLACE]],"/","~",2))+1,LEN(Tabla1[[#This Row],[ENLACE]]))</f>
        <v>club-nacional-de-football</v>
      </c>
      <c r="B662" t="s">
        <v>666</v>
      </c>
      <c r="C662" t="str">
        <f>_xlfn.TEXTBEFORE(_xlfn.TEXTAFTER(Tabla1[[#This Row],[ENLACE]],"/",1),"/")</f>
        <v>uruguay</v>
      </c>
      <c r="D662" t="str">
        <f>Tabla1[[#This Row],[PAIS]]</f>
        <v>uruguay</v>
      </c>
      <c r="E662" s="8" t="str">
        <f ca="1">IF(VLOOKUP(Tabla1[[#This Row],[PAIS]],$H$2:$I$34,2)="x","SI","NO")</f>
        <v>SI</v>
      </c>
    </row>
    <row r="663" spans="1:5" x14ac:dyDescent="0.3">
      <c r="A663" t="str">
        <f>MID(Tabla1[[#This Row],[ENLACE]],FIND("~",SUBSTITUTE(Tabla1[[#This Row],[ENLACE]],"/","~",2))+1,LEN(Tabla1[[#This Row],[ENLACE]]))</f>
        <v>penarol</v>
      </c>
      <c r="B663" t="s">
        <v>667</v>
      </c>
      <c r="C663" t="str">
        <f>_xlfn.TEXTBEFORE(_xlfn.TEXTAFTER(Tabla1[[#This Row],[ENLACE]],"/",1),"/")</f>
        <v>uruguay</v>
      </c>
      <c r="D663" t="str">
        <f>Tabla1[[#This Row],[PAIS]]</f>
        <v>uruguay</v>
      </c>
      <c r="E663" s="8" t="str">
        <f ca="1">IF(VLOOKUP(Tabla1[[#This Row],[PAIS]],$H$2:$I$34,2)="x","SI","NO")</f>
        <v>SI</v>
      </c>
    </row>
    <row r="664" spans="1:5" x14ac:dyDescent="0.3">
      <c r="A664" t="str">
        <f>MID(Tabla1[[#This Row],[ENLACE]],FIND("~",SUBSTITUTE(Tabla1[[#This Row],[ENLACE]],"/","~",2))+1,LEN(Tabla1[[#This Row],[ENLACE]]))</f>
        <v>club-atletico-progreso</v>
      </c>
      <c r="B664" t="s">
        <v>668</v>
      </c>
      <c r="C664" t="str">
        <f>_xlfn.TEXTBEFORE(_xlfn.TEXTAFTER(Tabla1[[#This Row],[ENLACE]],"/",1),"/")</f>
        <v>uruguay</v>
      </c>
      <c r="D664" t="str">
        <f>Tabla1[[#This Row],[PAIS]]</f>
        <v>uruguay</v>
      </c>
      <c r="E664" s="8" t="str">
        <f ca="1">IF(VLOOKUP(Tabla1[[#This Row],[PAIS]],$H$2:$I$34,2)="x","SI","NO")</f>
        <v>SI</v>
      </c>
    </row>
    <row r="665" spans="1:5" x14ac:dyDescent="0.3">
      <c r="A665" t="str">
        <f>MID(Tabla1[[#This Row],[ENLACE]],FIND("~",SUBSTITUTE(Tabla1[[#This Row],[ENLACE]],"/","~",2))+1,LEN(Tabla1[[#This Row],[ENLACE]]))</f>
        <v>racing-club-de-montevideo</v>
      </c>
      <c r="B665" t="s">
        <v>669</v>
      </c>
      <c r="C665" t="str">
        <f>_xlfn.TEXTBEFORE(_xlfn.TEXTAFTER(Tabla1[[#This Row],[ENLACE]],"/",1),"/")</f>
        <v>uruguay</v>
      </c>
      <c r="D665" t="str">
        <f>Tabla1[[#This Row],[PAIS]]</f>
        <v>uruguay</v>
      </c>
      <c r="E665" s="8" t="str">
        <f ca="1">IF(VLOOKUP(Tabla1[[#This Row],[PAIS]],$H$2:$I$34,2)="x","SI","NO")</f>
        <v>SI</v>
      </c>
    </row>
    <row r="666" spans="1:5" x14ac:dyDescent="0.3">
      <c r="A666" t="str">
        <f>MID(Tabla1[[#This Row],[ENLACE]],FIND("~",SUBSTITUTE(Tabla1[[#This Row],[ENLACE]],"/","~",2))+1,LEN(Tabla1[[#This Row],[ENLACE]]))</f>
        <v>montevideo-wanderers-fc</v>
      </c>
      <c r="B666" t="s">
        <v>670</v>
      </c>
      <c r="C666" t="str">
        <f>_xlfn.TEXTBEFORE(_xlfn.TEXTAFTER(Tabla1[[#This Row],[ENLACE]],"/",1),"/")</f>
        <v>uruguay</v>
      </c>
      <c r="D666" t="str">
        <f>Tabla1[[#This Row],[PAIS]]</f>
        <v>uruguay</v>
      </c>
      <c r="E666" s="8" t="str">
        <f ca="1">IF(VLOOKUP(Tabla1[[#This Row],[PAIS]],$H$2:$I$34,2)="x","SI","NO")</f>
        <v>SI</v>
      </c>
    </row>
    <row r="667" spans="1:5" x14ac:dyDescent="0.3">
      <c r="A667" t="str">
        <f>MID(Tabla1[[#This Row],[ENLACE]],FIND("~",SUBSTITUTE(Tabla1[[#This Row],[ENLACE]],"/","~",2))+1,LEN(Tabla1[[#This Row],[ENLACE]]))</f>
        <v>fsc-bukovyna-chernivtsi</v>
      </c>
      <c r="B667" t="s">
        <v>671</v>
      </c>
      <c r="C667" t="str">
        <f>_xlfn.TEXTBEFORE(_xlfn.TEXTAFTER(Tabla1[[#This Row],[ENLACE]],"/",1),"/")</f>
        <v>ukraine</v>
      </c>
      <c r="D667" t="str">
        <f>Tabla1[[#This Row],[PAIS]]</f>
        <v>ukraine</v>
      </c>
      <c r="E667" s="8" t="str">
        <f ca="1">IF(VLOOKUP(Tabla1[[#This Row],[PAIS]],$H$2:$I$34,2)="x","SI","NO")</f>
        <v>SI</v>
      </c>
    </row>
    <row r="668" spans="1:5" x14ac:dyDescent="0.3">
      <c r="A668" t="str">
        <f>MID(Tabla1[[#This Row],[ENLACE]],FIND("~",SUBSTITUTE(Tabla1[[#This Row],[ENLACE]],"/","~",2))+1,LEN(Tabla1[[#This Row],[ENLACE]]))</f>
        <v>fc-chornomorets-odessa</v>
      </c>
      <c r="B668" t="s">
        <v>672</v>
      </c>
      <c r="C668" t="str">
        <f>_xlfn.TEXTBEFORE(_xlfn.TEXTAFTER(Tabla1[[#This Row],[ENLACE]],"/",1),"/")</f>
        <v>ukraine</v>
      </c>
      <c r="D668" t="str">
        <f>Tabla1[[#This Row],[PAIS]]</f>
        <v>ukraine</v>
      </c>
      <c r="E668" s="8" t="str">
        <f ca="1">IF(VLOOKUP(Tabla1[[#This Row],[PAIS]],$H$2:$I$34,2)="x","SI","NO")</f>
        <v>SI</v>
      </c>
    </row>
    <row r="669" spans="1:5" x14ac:dyDescent="0.3">
      <c r="A669" t="str">
        <f>MID(Tabla1[[#This Row],[ENLACE]],FIND("~",SUBSTITUTE(Tabla1[[#This Row],[ENLACE]],"/","~",2))+1,LEN(Tabla1[[#This Row],[ENLACE]]))</f>
        <v>fc-dynamo-kyiv</v>
      </c>
      <c r="B669" t="s">
        <v>673</v>
      </c>
      <c r="C669" t="str">
        <f>_xlfn.TEXTBEFORE(_xlfn.TEXTAFTER(Tabla1[[#This Row],[ENLACE]],"/",1),"/")</f>
        <v>ukraine</v>
      </c>
      <c r="D669" t="str">
        <f>Tabla1[[#This Row],[PAIS]]</f>
        <v>ukraine</v>
      </c>
      <c r="E669" s="8" t="str">
        <f ca="1">IF(VLOOKUP(Tabla1[[#This Row],[PAIS]],$H$2:$I$34,2)="x","SI","NO")</f>
        <v>SI</v>
      </c>
    </row>
    <row r="670" spans="1:5" x14ac:dyDescent="0.3">
      <c r="A670" t="str">
        <f>MID(Tabla1[[#This Row],[ENLACE]],FIND("~",SUBSTITUTE(Tabla1[[#This Row],[ENLACE]],"/","~",2))+1,LEN(Tabla1[[#This Row],[ENLACE]]))</f>
        <v>fc-epitsentr-kamianets-podilskyi</v>
      </c>
      <c r="B670" t="s">
        <v>674</v>
      </c>
      <c r="C670" t="str">
        <f>_xlfn.TEXTBEFORE(_xlfn.TEXTAFTER(Tabla1[[#This Row],[ENLACE]],"/",1),"/")</f>
        <v>ukraine</v>
      </c>
      <c r="D670" t="str">
        <f>Tabla1[[#This Row],[PAIS]]</f>
        <v>ukraine</v>
      </c>
      <c r="E670" s="8" t="str">
        <f ca="1">IF(VLOOKUP(Tabla1[[#This Row],[PAIS]],$H$2:$I$34,2)="x","SI","NO")</f>
        <v>SI</v>
      </c>
    </row>
    <row r="671" spans="1:5" x14ac:dyDescent="0.3">
      <c r="A671" t="str">
        <f>MID(Tabla1[[#This Row],[ENLACE]],FIND("~",SUBSTITUTE(Tabla1[[#This Row],[ENLACE]],"/","~",2))+1,LEN(Tabla1[[#This Row],[ENLACE]]))</f>
        <v>fc-kharkiv</v>
      </c>
      <c r="B671" t="s">
        <v>675</v>
      </c>
      <c r="C671" t="str">
        <f>_xlfn.TEXTBEFORE(_xlfn.TEXTAFTER(Tabla1[[#This Row],[ENLACE]],"/",1),"/")</f>
        <v>ukraine</v>
      </c>
      <c r="D671" t="str">
        <f>Tabla1[[#This Row],[PAIS]]</f>
        <v>ukraine</v>
      </c>
      <c r="E671" s="8" t="str">
        <f ca="1">IF(VLOOKUP(Tabla1[[#This Row],[PAIS]],$H$2:$I$34,2)="x","SI","NO")</f>
        <v>SI</v>
      </c>
    </row>
    <row r="672" spans="1:5" x14ac:dyDescent="0.3">
      <c r="A672" t="str">
        <f>MID(Tabla1[[#This Row],[ENLACE]],FIND("~",SUBSTITUTE(Tabla1[[#This Row],[ENLACE]],"/","~",2))+1,LEN(Tabla1[[#This Row],[ENLACE]]))</f>
        <v>fc-karpaty-lviv</v>
      </c>
      <c r="B672" t="s">
        <v>676</v>
      </c>
      <c r="C672" t="str">
        <f>_xlfn.TEXTBEFORE(_xlfn.TEXTAFTER(Tabla1[[#This Row],[ENLACE]],"/",1),"/")</f>
        <v>ukraine</v>
      </c>
      <c r="D672" t="str">
        <f>Tabla1[[#This Row],[PAIS]]</f>
        <v>ukraine</v>
      </c>
      <c r="E672" s="8" t="str">
        <f ca="1">IF(VLOOKUP(Tabla1[[#This Row],[PAIS]],$H$2:$I$34,2)="x","SI","NO")</f>
        <v>SI</v>
      </c>
    </row>
    <row r="673" spans="1:5" x14ac:dyDescent="0.3">
      <c r="A673" t="str">
        <f>MID(Tabla1[[#This Row],[ENLACE]],FIND("~",SUBSTITUTE(Tabla1[[#This Row],[ENLACE]],"/","~",2))+1,LEN(Tabla1[[#This Row],[ENLACE]]))</f>
        <v>fc-kolos-kovalivka</v>
      </c>
      <c r="B673" t="s">
        <v>677</v>
      </c>
      <c r="C673" t="str">
        <f>_xlfn.TEXTBEFORE(_xlfn.TEXTAFTER(Tabla1[[#This Row],[ENLACE]],"/",1),"/")</f>
        <v>ukraine</v>
      </c>
      <c r="D673" t="str">
        <f>Tabla1[[#This Row],[PAIS]]</f>
        <v>ukraine</v>
      </c>
      <c r="E673" s="8" t="str">
        <f ca="1">IF(VLOOKUP(Tabla1[[#This Row],[PAIS]],$H$2:$I$34,2)="x","SI","NO")</f>
        <v>SI</v>
      </c>
    </row>
    <row r="674" spans="1:5" x14ac:dyDescent="0.3">
      <c r="A674" t="str">
        <f>MID(Tabla1[[#This Row],[ENLACE]],FIND("~",SUBSTITUTE(Tabla1[[#This Row],[ENLACE]],"/","~",2))+1,LEN(Tabla1[[#This Row],[ENLACE]]))</f>
        <v>fc-kryvbas-kryvyi-rih</v>
      </c>
      <c r="B674" t="s">
        <v>678</v>
      </c>
      <c r="C674" t="str">
        <f>_xlfn.TEXTBEFORE(_xlfn.TEXTAFTER(Tabla1[[#This Row],[ENLACE]],"/",1),"/")</f>
        <v>ukraine</v>
      </c>
      <c r="D674" t="str">
        <f>Tabla1[[#This Row],[PAIS]]</f>
        <v>ukraine</v>
      </c>
      <c r="E674" s="8" t="str">
        <f ca="1">IF(VLOOKUP(Tabla1[[#This Row],[PAIS]],$H$2:$I$34,2)="x","SI","NO")</f>
        <v>SI</v>
      </c>
    </row>
    <row r="675" spans="1:5" x14ac:dyDescent="0.3">
      <c r="A675" t="str">
        <f>MID(Tabla1[[#This Row],[ENLACE]],FIND("~",SUBSTITUTE(Tabla1[[#This Row],[ENLACE]],"/","~",2))+1,LEN(Tabla1[[#This Row],[ENLACE]]))</f>
        <v>fc-kudrivka</v>
      </c>
      <c r="B675" t="s">
        <v>679</v>
      </c>
      <c r="C675" t="str">
        <f>_xlfn.TEXTBEFORE(_xlfn.TEXTAFTER(Tabla1[[#This Row],[ENLACE]],"/",1),"/")</f>
        <v>ukraine</v>
      </c>
      <c r="D675" t="str">
        <f>Tabla1[[#This Row],[PAIS]]</f>
        <v>ukraine</v>
      </c>
      <c r="E675" s="8" t="str">
        <f ca="1">IF(VLOOKUP(Tabla1[[#This Row],[PAIS]],$H$2:$I$34,2)="x","SI","NO")</f>
        <v>SI</v>
      </c>
    </row>
    <row r="676" spans="1:5" x14ac:dyDescent="0.3">
      <c r="A676" t="str">
        <f>MID(Tabla1[[#This Row],[ENLACE]],FIND("~",SUBSTITUTE(Tabla1[[#This Row],[ENLACE]],"/","~",2))+1,LEN(Tabla1[[#This Row],[ENLACE]]))</f>
        <v>fc-livyi-bereh-kyiv</v>
      </c>
      <c r="B676" t="s">
        <v>680</v>
      </c>
      <c r="C676" t="str">
        <f>_xlfn.TEXTBEFORE(_xlfn.TEXTAFTER(Tabla1[[#This Row],[ENLACE]],"/",1),"/")</f>
        <v>ukraine</v>
      </c>
      <c r="D676" t="str">
        <f>Tabla1[[#This Row],[PAIS]]</f>
        <v>ukraine</v>
      </c>
      <c r="E676" s="8" t="str">
        <f ca="1">IF(VLOOKUP(Tabla1[[#This Row],[PAIS]],$H$2:$I$34,2)="x","SI","NO")</f>
        <v>SI</v>
      </c>
    </row>
    <row r="677" spans="1:5" x14ac:dyDescent="0.3">
      <c r="A677" t="str">
        <f>MID(Tabla1[[#This Row],[ENLACE]],FIND("~",SUBSTITUTE(Tabla1[[#This Row],[ENLACE]],"/","~",2))+1,LEN(Tabla1[[#This Row],[ENLACE]]))</f>
        <v>fc-lnz-cherkasy</v>
      </c>
      <c r="B677" t="s">
        <v>681</v>
      </c>
      <c r="C677" t="str">
        <f>_xlfn.TEXTBEFORE(_xlfn.TEXTAFTER(Tabla1[[#This Row],[ENLACE]],"/",1),"/")</f>
        <v>ukraine</v>
      </c>
      <c r="D677" t="str">
        <f>Tabla1[[#This Row],[PAIS]]</f>
        <v>ukraine</v>
      </c>
      <c r="E677" s="8" t="str">
        <f ca="1">IF(VLOOKUP(Tabla1[[#This Row],[PAIS]],$H$2:$I$34,2)="x","SI","NO")</f>
        <v>SI</v>
      </c>
    </row>
    <row r="678" spans="1:5" x14ac:dyDescent="0.3">
      <c r="A678" t="str">
        <f>MID(Tabla1[[#This Row],[ENLACE]],FIND("~",SUBSTITUTE(Tabla1[[#This Row],[ENLACE]],"/","~",2))+1,LEN(Tabla1[[#This Row],[ENLACE]]))</f>
        <v>fc-obolon-kyiv</v>
      </c>
      <c r="B678" t="s">
        <v>682</v>
      </c>
      <c r="C678" t="str">
        <f>_xlfn.TEXTBEFORE(_xlfn.TEXTAFTER(Tabla1[[#This Row],[ENLACE]],"/",1),"/")</f>
        <v>ukraine</v>
      </c>
      <c r="D678" t="str">
        <f>Tabla1[[#This Row],[PAIS]]</f>
        <v>ukraine</v>
      </c>
      <c r="E678" s="8" t="str">
        <f ca="1">IF(VLOOKUP(Tabla1[[#This Row],[PAIS]],$H$2:$I$34,2)="x","SI","NO")</f>
        <v>SI</v>
      </c>
    </row>
    <row r="679" spans="1:5" x14ac:dyDescent="0.3">
      <c r="A679" t="str">
        <f>MID(Tabla1[[#This Row],[ENLACE]],FIND("~",SUBSTITUTE(Tabla1[[#This Row],[ENLACE]],"/","~",2))+1,LEN(Tabla1[[#This Row],[ENLACE]]))</f>
        <v>fc-polissya-zhytomyr</v>
      </c>
      <c r="B679" t="s">
        <v>683</v>
      </c>
      <c r="C679" t="str">
        <f>_xlfn.TEXTBEFORE(_xlfn.TEXTAFTER(Tabla1[[#This Row],[ENLACE]],"/",1),"/")</f>
        <v>ukraine</v>
      </c>
      <c r="D679" t="str">
        <f>Tabla1[[#This Row],[PAIS]]</f>
        <v>ukraine</v>
      </c>
      <c r="E679" s="8" t="str">
        <f ca="1">IF(VLOOKUP(Tabla1[[#This Row],[PAIS]],$H$2:$I$34,2)="x","SI","NO")</f>
        <v>SI</v>
      </c>
    </row>
    <row r="680" spans="1:5" x14ac:dyDescent="0.3">
      <c r="A680" t="str">
        <f>MID(Tabla1[[#This Row],[ENLACE]],FIND("~",SUBSTITUTE(Tabla1[[#This Row],[ENLACE]],"/","~",2))+1,LEN(Tabla1[[#This Row],[ENLACE]]))</f>
        <v>fc-shakhtar-donetsk</v>
      </c>
      <c r="B680" t="s">
        <v>684</v>
      </c>
      <c r="C680" t="str">
        <f>_xlfn.TEXTBEFORE(_xlfn.TEXTAFTER(Tabla1[[#This Row],[ENLACE]],"/",1),"/")</f>
        <v>ukraine</v>
      </c>
      <c r="D680" t="str">
        <f>Tabla1[[#This Row],[PAIS]]</f>
        <v>ukraine</v>
      </c>
      <c r="E680" s="8" t="str">
        <f ca="1">IF(VLOOKUP(Tabla1[[#This Row],[PAIS]],$H$2:$I$34,2)="x","SI","NO")</f>
        <v>SI</v>
      </c>
    </row>
    <row r="681" spans="1:5" x14ac:dyDescent="0.3">
      <c r="A681" t="str">
        <f>MID(Tabla1[[#This Row],[ENLACE]],FIND("~",SUBSTITUTE(Tabla1[[#This Row],[ENLACE]],"/","~",2))+1,LEN(Tabla1[[#This Row],[ENLACE]]))</f>
        <v>nk-veres-rivne</v>
      </c>
      <c r="B681" t="s">
        <v>685</v>
      </c>
      <c r="C681" t="str">
        <f>_xlfn.TEXTBEFORE(_xlfn.TEXTAFTER(Tabla1[[#This Row],[ENLACE]],"/",1),"/")</f>
        <v>ukraine</v>
      </c>
      <c r="D681" t="str">
        <f>Tabla1[[#This Row],[PAIS]]</f>
        <v>ukraine</v>
      </c>
      <c r="E681" s="8" t="str">
        <f ca="1">IF(VLOOKUP(Tabla1[[#This Row],[PAIS]],$H$2:$I$34,2)="x","SI","NO")</f>
        <v>SI</v>
      </c>
    </row>
    <row r="682" spans="1:5" x14ac:dyDescent="0.3">
      <c r="A682" t="str">
        <f>MID(Tabla1[[#This Row],[ENLACE]],FIND("~",SUBSTITUTE(Tabla1[[#This Row],[ENLACE]],"/","~",2))+1,LEN(Tabla1[[#This Row],[ENLACE]]))</f>
        <v>fc-zorya-luhansk</v>
      </c>
      <c r="B682" t="s">
        <v>686</v>
      </c>
      <c r="C682" t="str">
        <f>_xlfn.TEXTBEFORE(_xlfn.TEXTAFTER(Tabla1[[#This Row],[ENLACE]],"/",1),"/")</f>
        <v>ukraine</v>
      </c>
      <c r="D682" t="str">
        <f>Tabla1[[#This Row],[PAIS]]</f>
        <v>ukraine</v>
      </c>
      <c r="E682" s="8" t="str">
        <f ca="1">IF(VLOOKUP(Tabla1[[#This Row],[PAIS]],$H$2:$I$34,2)="x","SI","NO")</f>
        <v>SI</v>
      </c>
    </row>
    <row r="683" spans="1:5" x14ac:dyDescent="0.3">
      <c r="A683" t="str">
        <f>MID(Tabla1[[#This Row],[ENLACE]],FIND("~",SUBSTITUTE(Tabla1[[#This Row],[ENLACE]],"/","~",2))+1,LEN(Tabla1[[#This Row],[ENLACE]]))</f>
        <v>avispa-fukuoka</v>
      </c>
      <c r="B683" t="s">
        <v>687</v>
      </c>
      <c r="C683" t="str">
        <f>_xlfn.TEXTBEFORE(_xlfn.TEXTAFTER(Tabla1[[#This Row],[ENLACE]],"/",1),"/")</f>
        <v>japan</v>
      </c>
      <c r="D683" t="str">
        <f>Tabla1[[#This Row],[PAIS]]</f>
        <v>japan</v>
      </c>
      <c r="E683" s="8" t="str">
        <f ca="1">IF(VLOOKUP(Tabla1[[#This Row],[PAIS]],$H$2:$I$34,2)="x","SI","NO")</f>
        <v>SI</v>
      </c>
    </row>
    <row r="684" spans="1:5" x14ac:dyDescent="0.3">
      <c r="A684" t="str">
        <f>MID(Tabla1[[#This Row],[ENLACE]],FIND("~",SUBSTITUTE(Tabla1[[#This Row],[ENLACE]],"/","~",2))+1,LEN(Tabla1[[#This Row],[ENLACE]]))</f>
        <v>cerezo-osaka</v>
      </c>
      <c r="B684" t="s">
        <v>688</v>
      </c>
      <c r="C684" t="str">
        <f>_xlfn.TEXTBEFORE(_xlfn.TEXTAFTER(Tabla1[[#This Row],[ENLACE]],"/",1),"/")</f>
        <v>japan</v>
      </c>
      <c r="D684" t="str">
        <f>Tabla1[[#This Row],[PAIS]]</f>
        <v>japan</v>
      </c>
      <c r="E684" s="8" t="str">
        <f ca="1">IF(VLOOKUP(Tabla1[[#This Row],[PAIS]],$H$2:$I$34,2)="x","SI","NO")</f>
        <v>SI</v>
      </c>
    </row>
    <row r="685" spans="1:5" x14ac:dyDescent="0.3">
      <c r="A685" t="str">
        <f>MID(Tabla1[[#This Row],[ENLACE]],FIND("~",SUBSTITUTE(Tabla1[[#This Row],[ENLACE]],"/","~",2))+1,LEN(Tabla1[[#This Row],[ENLACE]]))</f>
        <v>fagiano-okayama</v>
      </c>
      <c r="B685" t="s">
        <v>689</v>
      </c>
      <c r="C685" t="str">
        <f>_xlfn.TEXTBEFORE(_xlfn.TEXTAFTER(Tabla1[[#This Row],[ENLACE]],"/",1),"/")</f>
        <v>japan</v>
      </c>
      <c r="D685" t="str">
        <f>Tabla1[[#This Row],[PAIS]]</f>
        <v>japan</v>
      </c>
      <c r="E685" s="8" t="str">
        <f ca="1">IF(VLOOKUP(Tabla1[[#This Row],[PAIS]],$H$2:$I$34,2)="x","SI","NO")</f>
        <v>SI</v>
      </c>
    </row>
    <row r="686" spans="1:5" x14ac:dyDescent="0.3">
      <c r="A686" t="str">
        <f>MID(Tabla1[[#This Row],[ENLACE]],FIND("~",SUBSTITUTE(Tabla1[[#This Row],[ENLACE]],"/","~",2))+1,LEN(Tabla1[[#This Row],[ENLACE]]))</f>
        <v>gamba-osaka</v>
      </c>
      <c r="B686" t="s">
        <v>690</v>
      </c>
      <c r="C686" t="str">
        <f>_xlfn.TEXTBEFORE(_xlfn.TEXTAFTER(Tabla1[[#This Row],[ENLACE]],"/",1),"/")</f>
        <v>japan</v>
      </c>
      <c r="D686" t="str">
        <f>Tabla1[[#This Row],[PAIS]]</f>
        <v>japan</v>
      </c>
      <c r="E686" s="8" t="str">
        <f ca="1">IF(VLOOKUP(Tabla1[[#This Row],[PAIS]],$H$2:$I$34,2)="x","SI","NO")</f>
        <v>SI</v>
      </c>
    </row>
    <row r="687" spans="1:5" x14ac:dyDescent="0.3">
      <c r="A687" t="str">
        <f>MID(Tabla1[[#This Row],[ENLACE]],FIND("~",SUBSTITUTE(Tabla1[[#This Row],[ENLACE]],"/","~",2))+1,LEN(Tabla1[[#This Row],[ENLACE]]))</f>
        <v>sanfreece-hiroshima</v>
      </c>
      <c r="B687" t="s">
        <v>691</v>
      </c>
      <c r="C687" t="str">
        <f>_xlfn.TEXTBEFORE(_xlfn.TEXTAFTER(Tabla1[[#This Row],[ENLACE]],"/",1),"/")</f>
        <v>japan</v>
      </c>
      <c r="D687" t="str">
        <f>Tabla1[[#This Row],[PAIS]]</f>
        <v>japan</v>
      </c>
      <c r="E687" s="8" t="str">
        <f ca="1">IF(VLOOKUP(Tabla1[[#This Row],[PAIS]],$H$2:$I$34,2)="x","SI","NO")</f>
        <v>SI</v>
      </c>
    </row>
    <row r="688" spans="1:5" x14ac:dyDescent="0.3">
      <c r="A688" t="str">
        <f>MID(Tabla1[[#This Row],[ENLACE]],FIND("~",SUBSTITUTE(Tabla1[[#This Row],[ENLACE]],"/","~",2))+1,LEN(Tabla1[[#This Row],[ENLACE]]))</f>
        <v>jef-united-chiba</v>
      </c>
      <c r="B688" t="s">
        <v>692</v>
      </c>
      <c r="C688" t="str">
        <f>_xlfn.TEXTBEFORE(_xlfn.TEXTAFTER(Tabla1[[#This Row],[ENLACE]],"/",1),"/")</f>
        <v>japan</v>
      </c>
      <c r="D688" t="str">
        <f>Tabla1[[#This Row],[PAIS]]</f>
        <v>japan</v>
      </c>
      <c r="E688" s="8" t="str">
        <f ca="1">IF(VLOOKUP(Tabla1[[#This Row],[PAIS]],$H$2:$I$34,2)="x","SI","NO")</f>
        <v>SI</v>
      </c>
    </row>
    <row r="689" spans="1:5" x14ac:dyDescent="0.3">
      <c r="A689" t="str">
        <f>MID(Tabla1[[#This Row],[ENLACE]],FIND("~",SUBSTITUTE(Tabla1[[#This Row],[ENLACE]],"/","~",2))+1,LEN(Tabla1[[#This Row],[ENLACE]]))</f>
        <v>kashima-antlers</v>
      </c>
      <c r="B689" t="s">
        <v>693</v>
      </c>
      <c r="C689" t="str">
        <f>_xlfn.TEXTBEFORE(_xlfn.TEXTAFTER(Tabla1[[#This Row],[ENLACE]],"/",1),"/")</f>
        <v>japan</v>
      </c>
      <c r="D689" t="str">
        <f>Tabla1[[#This Row],[PAIS]]</f>
        <v>japan</v>
      </c>
      <c r="E689" s="8" t="str">
        <f ca="1">IF(VLOOKUP(Tabla1[[#This Row],[PAIS]],$H$2:$I$34,2)="x","SI","NO")</f>
        <v>SI</v>
      </c>
    </row>
    <row r="690" spans="1:5" x14ac:dyDescent="0.3">
      <c r="A690" t="str">
        <f>MID(Tabla1[[#This Row],[ENLACE]],FIND("~",SUBSTITUTE(Tabla1[[#This Row],[ENLACE]],"/","~",2))+1,LEN(Tabla1[[#This Row],[ENLACE]]))</f>
        <v>kashiwa-reysol</v>
      </c>
      <c r="B690" t="s">
        <v>694</v>
      </c>
      <c r="C690" t="str">
        <f>_xlfn.TEXTBEFORE(_xlfn.TEXTAFTER(Tabla1[[#This Row],[ENLACE]],"/",1),"/")</f>
        <v>japan</v>
      </c>
      <c r="D690" t="str">
        <f>Tabla1[[#This Row],[PAIS]]</f>
        <v>japan</v>
      </c>
      <c r="E690" s="8" t="str">
        <f ca="1">IF(VLOOKUP(Tabla1[[#This Row],[PAIS]],$H$2:$I$34,2)="x","SI","NO")</f>
        <v>SI</v>
      </c>
    </row>
    <row r="691" spans="1:5" x14ac:dyDescent="0.3">
      <c r="A691" t="str">
        <f>MID(Tabla1[[#This Row],[ENLACE]],FIND("~",SUBSTITUTE(Tabla1[[#This Row],[ENLACE]],"/","~",2))+1,LEN(Tabla1[[#This Row],[ENLACE]]))</f>
        <v>kawasaki-frontale</v>
      </c>
      <c r="B691" t="s">
        <v>695</v>
      </c>
      <c r="C691" t="str">
        <f>_xlfn.TEXTBEFORE(_xlfn.TEXTAFTER(Tabla1[[#This Row],[ENLACE]],"/",1),"/")</f>
        <v>japan</v>
      </c>
      <c r="D691" t="str">
        <f>Tabla1[[#This Row],[PAIS]]</f>
        <v>japan</v>
      </c>
      <c r="E691" s="8" t="str">
        <f ca="1">IF(VLOOKUP(Tabla1[[#This Row],[PAIS]],$H$2:$I$34,2)="x","SI","NO")</f>
        <v>SI</v>
      </c>
    </row>
    <row r="692" spans="1:5" x14ac:dyDescent="0.3">
      <c r="A692" t="str">
        <f>MID(Tabla1[[#This Row],[ENLACE]],FIND("~",SUBSTITUTE(Tabla1[[#This Row],[ENLACE]],"/","~",2))+1,LEN(Tabla1[[#This Row],[ENLACE]]))</f>
        <v>vissel-kobe</v>
      </c>
      <c r="B692" t="s">
        <v>696</v>
      </c>
      <c r="C692" t="str">
        <f>_xlfn.TEXTBEFORE(_xlfn.TEXTAFTER(Tabla1[[#This Row],[ENLACE]],"/",1),"/")</f>
        <v>japan</v>
      </c>
      <c r="D692" t="str">
        <f>Tabla1[[#This Row],[PAIS]]</f>
        <v>japan</v>
      </c>
      <c r="E692" s="8" t="str">
        <f ca="1">IF(VLOOKUP(Tabla1[[#This Row],[PAIS]],$H$2:$I$34,2)="x","SI","NO")</f>
        <v>SI</v>
      </c>
    </row>
    <row r="693" spans="1:5" x14ac:dyDescent="0.3">
      <c r="A693" t="str">
        <f>MID(Tabla1[[#This Row],[ENLACE]],FIND("~",SUBSTITUTE(Tabla1[[#This Row],[ENLACE]],"/","~",2))+1,LEN(Tabla1[[#This Row],[ENLACE]]))</f>
        <v>kyoto-sanga-fc</v>
      </c>
      <c r="B693" t="s">
        <v>697</v>
      </c>
      <c r="C693" t="str">
        <f>_xlfn.TEXTBEFORE(_xlfn.TEXTAFTER(Tabla1[[#This Row],[ENLACE]],"/",1),"/")</f>
        <v>japan</v>
      </c>
      <c r="D693" t="str">
        <f>Tabla1[[#This Row],[PAIS]]</f>
        <v>japan</v>
      </c>
      <c r="E693" s="8" t="str">
        <f ca="1">IF(VLOOKUP(Tabla1[[#This Row],[PAIS]],$H$2:$I$34,2)="x","SI","NO")</f>
        <v>SI</v>
      </c>
    </row>
    <row r="694" spans="1:5" x14ac:dyDescent="0.3">
      <c r="A694" t="str">
        <f>MID(Tabla1[[#This Row],[ENLACE]],FIND("~",SUBSTITUTE(Tabla1[[#This Row],[ENLACE]],"/","~",2))+1,LEN(Tabla1[[#This Row],[ENLACE]]))</f>
        <v>fc-machida-zelvia</v>
      </c>
      <c r="B694" t="s">
        <v>698</v>
      </c>
      <c r="C694" t="str">
        <f>_xlfn.TEXTBEFORE(_xlfn.TEXTAFTER(Tabla1[[#This Row],[ENLACE]],"/",1),"/")</f>
        <v>japan</v>
      </c>
      <c r="D694" t="str">
        <f>Tabla1[[#This Row],[PAIS]]</f>
        <v>japan</v>
      </c>
      <c r="E694" s="8" t="str">
        <f ca="1">IF(VLOOKUP(Tabla1[[#This Row],[PAIS]],$H$2:$I$34,2)="x","SI","NO")</f>
        <v>SI</v>
      </c>
    </row>
    <row r="695" spans="1:5" x14ac:dyDescent="0.3">
      <c r="A695" t="str">
        <f>MID(Tabla1[[#This Row],[ENLACE]],FIND("~",SUBSTITUTE(Tabla1[[#This Row],[ENLACE]],"/","~",2))+1,LEN(Tabla1[[#This Row],[ENLACE]]))</f>
        <v>mito-hollyhock</v>
      </c>
      <c r="B695" t="s">
        <v>699</v>
      </c>
      <c r="C695" t="str">
        <f>_xlfn.TEXTBEFORE(_xlfn.TEXTAFTER(Tabla1[[#This Row],[ENLACE]],"/",1),"/")</f>
        <v>japan</v>
      </c>
      <c r="D695" t="str">
        <f>Tabla1[[#This Row],[PAIS]]</f>
        <v>japan</v>
      </c>
      <c r="E695" s="8" t="str">
        <f ca="1">IF(VLOOKUP(Tabla1[[#This Row],[PAIS]],$H$2:$I$34,2)="x","SI","NO")</f>
        <v>SI</v>
      </c>
    </row>
    <row r="696" spans="1:5" x14ac:dyDescent="0.3">
      <c r="A696" t="str">
        <f>MID(Tabla1[[#This Row],[ENLACE]],FIND("~",SUBSTITUTE(Tabla1[[#This Row],[ENLACE]],"/","~",2))+1,LEN(Tabla1[[#This Row],[ENLACE]]))</f>
        <v>nagoya-grampus</v>
      </c>
      <c r="B696" t="s">
        <v>700</v>
      </c>
      <c r="C696" t="str">
        <f>_xlfn.TEXTBEFORE(_xlfn.TEXTAFTER(Tabla1[[#This Row],[ENLACE]],"/",1),"/")</f>
        <v>japan</v>
      </c>
      <c r="D696" t="str">
        <f>Tabla1[[#This Row],[PAIS]]</f>
        <v>japan</v>
      </c>
      <c r="E696" s="8" t="str">
        <f ca="1">IF(VLOOKUP(Tabla1[[#This Row],[PAIS]],$H$2:$I$34,2)="x","SI","NO")</f>
        <v>SI</v>
      </c>
    </row>
    <row r="697" spans="1:5" x14ac:dyDescent="0.3">
      <c r="A697" t="str">
        <f>MID(Tabla1[[#This Row],[ENLACE]],FIND("~",SUBSTITUTE(Tabla1[[#This Row],[ENLACE]],"/","~",2))+1,LEN(Tabla1[[#This Row],[ENLACE]]))</f>
        <v>shimizu-s-pulse</v>
      </c>
      <c r="B697" t="s">
        <v>701</v>
      </c>
      <c r="C697" t="str">
        <f>_xlfn.TEXTBEFORE(_xlfn.TEXTAFTER(Tabla1[[#This Row],[ENLACE]],"/",1),"/")</f>
        <v>japan</v>
      </c>
      <c r="D697" t="str">
        <f>Tabla1[[#This Row],[PAIS]]</f>
        <v>japan</v>
      </c>
      <c r="E697" s="8" t="str">
        <f ca="1">IF(VLOOKUP(Tabla1[[#This Row],[PAIS]],$H$2:$I$34,2)="x","SI","NO")</f>
        <v>SI</v>
      </c>
    </row>
    <row r="698" spans="1:5" x14ac:dyDescent="0.3">
      <c r="A698" t="str">
        <f>MID(Tabla1[[#This Row],[ENLACE]],FIND("~",SUBSTITUTE(Tabla1[[#This Row],[ENLACE]],"/","~",2))+1,LEN(Tabla1[[#This Row],[ENLACE]]))</f>
        <v>fc-tokyo</v>
      </c>
      <c r="B698" t="s">
        <v>702</v>
      </c>
      <c r="C698" t="str">
        <f>_xlfn.TEXTBEFORE(_xlfn.TEXTAFTER(Tabla1[[#This Row],[ENLACE]],"/",1),"/")</f>
        <v>japan</v>
      </c>
      <c r="D698" t="str">
        <f>Tabla1[[#This Row],[PAIS]]</f>
        <v>japan</v>
      </c>
      <c r="E698" s="8" t="str">
        <f ca="1">IF(VLOOKUP(Tabla1[[#This Row],[PAIS]],$H$2:$I$34,2)="x","SI","NO")</f>
        <v>SI</v>
      </c>
    </row>
    <row r="699" spans="1:5" x14ac:dyDescent="0.3">
      <c r="A699" t="str">
        <f>MID(Tabla1[[#This Row],[ENLACE]],FIND("~",SUBSTITUTE(Tabla1[[#This Row],[ENLACE]],"/","~",2))+1,LEN(Tabla1[[#This Row],[ENLACE]]))</f>
        <v>tokyo-verdy</v>
      </c>
      <c r="B699" t="s">
        <v>703</v>
      </c>
      <c r="C699" t="str">
        <f>_xlfn.TEXTBEFORE(_xlfn.TEXTAFTER(Tabla1[[#This Row],[ENLACE]],"/",1),"/")</f>
        <v>japan</v>
      </c>
      <c r="D699" t="str">
        <f>Tabla1[[#This Row],[PAIS]]</f>
        <v>japan</v>
      </c>
      <c r="E699" s="8" t="str">
        <f ca="1">IF(VLOOKUP(Tabla1[[#This Row],[PAIS]],$H$2:$I$34,2)="x","SI","NO")</f>
        <v>SI</v>
      </c>
    </row>
    <row r="700" spans="1:5" x14ac:dyDescent="0.3">
      <c r="A700" t="str">
        <f>MID(Tabla1[[#This Row],[ENLACE]],FIND("~",SUBSTITUTE(Tabla1[[#This Row],[ENLACE]],"/","~",2))+1,LEN(Tabla1[[#This Row],[ENLACE]]))</f>
        <v>urawa-red-diamonds</v>
      </c>
      <c r="B700" t="s">
        <v>704</v>
      </c>
      <c r="C700" t="str">
        <f>_xlfn.TEXTBEFORE(_xlfn.TEXTAFTER(Tabla1[[#This Row],[ENLACE]],"/",1),"/")</f>
        <v>japan</v>
      </c>
      <c r="D700" t="str">
        <f>Tabla1[[#This Row],[PAIS]]</f>
        <v>japan</v>
      </c>
      <c r="E700" s="8" t="str">
        <f ca="1">IF(VLOOKUP(Tabla1[[#This Row],[PAIS]],$H$2:$I$34,2)="x","SI","NO")</f>
        <v>SI</v>
      </c>
    </row>
    <row r="701" spans="1:5" x14ac:dyDescent="0.3">
      <c r="A701" t="str">
        <f>MID(Tabla1[[#This Row],[ENLACE]],FIND("~",SUBSTITUTE(Tabla1[[#This Row],[ENLACE]],"/","~",2))+1,LEN(Tabla1[[#This Row],[ENLACE]]))</f>
        <v>v-varen-nagasaki</v>
      </c>
      <c r="B701" t="s">
        <v>705</v>
      </c>
      <c r="C701" t="str">
        <f>_xlfn.TEXTBEFORE(_xlfn.TEXTAFTER(Tabla1[[#This Row],[ENLACE]],"/",1),"/")</f>
        <v>japan</v>
      </c>
      <c r="D701" t="str">
        <f>Tabla1[[#This Row],[PAIS]]</f>
        <v>japan</v>
      </c>
      <c r="E701" s="8" t="str">
        <f ca="1">IF(VLOOKUP(Tabla1[[#This Row],[PAIS]],$H$2:$I$34,2)="x","SI","NO")</f>
        <v>SI</v>
      </c>
    </row>
    <row r="702" spans="1:5" x14ac:dyDescent="0.3">
      <c r="A702" t="str">
        <f>MID(Tabla1[[#This Row],[ENLACE]],FIND("~",SUBSTITUTE(Tabla1[[#This Row],[ENLACE]],"/","~",2))+1,LEN(Tabla1[[#This Row],[ENLACE]]))</f>
        <v>yokohama-f-marinos</v>
      </c>
      <c r="B702" t="s">
        <v>706</v>
      </c>
      <c r="C702" t="str">
        <f>_xlfn.TEXTBEFORE(_xlfn.TEXTAFTER(Tabla1[[#This Row],[ENLACE]],"/",1),"/")</f>
        <v>japan</v>
      </c>
      <c r="D702" t="str">
        <f>Tabla1[[#This Row],[PAIS]]</f>
        <v>japan</v>
      </c>
      <c r="E702" s="8" t="str">
        <f ca="1">IF(VLOOKUP(Tabla1[[#This Row],[PAIS]],$H$2:$I$34,2)="x","SI","NO")</f>
        <v>SI</v>
      </c>
    </row>
    <row r="703" spans="1:5" x14ac:dyDescent="0.3">
      <c r="A703" t="str">
        <f>MID(Tabla1[[#This Row],[ENLACE]],FIND("~",SUBSTITUTE(Tabla1[[#This Row],[ENLACE]],"/","~",2))+1,LEN(Tabla1[[#This Row],[ENLACE]]))</f>
        <v>fc-anyang</v>
      </c>
      <c r="B703" t="s">
        <v>707</v>
      </c>
      <c r="C703" t="str">
        <f>_xlfn.TEXTBEFORE(_xlfn.TEXTAFTER(Tabla1[[#This Row],[ENLACE]],"/",1),"/")</f>
        <v>south-korea</v>
      </c>
      <c r="D703" t="str">
        <f>Tabla1[[#This Row],[PAIS]]</f>
        <v>south-korea</v>
      </c>
      <c r="E703" s="8" t="str">
        <f ca="1">IF(VLOOKUP(Tabla1[[#This Row],[PAIS]],$H$2:$I$34,2)="x","SI","NO")</f>
        <v>SI</v>
      </c>
    </row>
    <row r="704" spans="1:5" x14ac:dyDescent="0.3">
      <c r="A704" t="str">
        <f>MID(Tabla1[[#This Row],[ENLACE]],FIND("~",SUBSTITUTE(Tabla1[[#This Row],[ENLACE]],"/","~",2))+1,LEN(Tabla1[[#This Row],[ENLACE]]))</f>
        <v>bucheon-fc-1995</v>
      </c>
      <c r="B704" t="s">
        <v>708</v>
      </c>
      <c r="C704" t="str">
        <f>_xlfn.TEXTBEFORE(_xlfn.TEXTAFTER(Tabla1[[#This Row],[ENLACE]],"/",1),"/")</f>
        <v>south-korea</v>
      </c>
      <c r="D704" t="str">
        <f>Tabla1[[#This Row],[PAIS]]</f>
        <v>south-korea</v>
      </c>
      <c r="E704" s="8" t="str">
        <f ca="1">IF(VLOOKUP(Tabla1[[#This Row],[PAIS]],$H$2:$I$34,2)="x","SI","NO")</f>
        <v>SI</v>
      </c>
    </row>
    <row r="705" spans="1:5" x14ac:dyDescent="0.3">
      <c r="A705" t="str">
        <f>MID(Tabla1[[#This Row],[ENLACE]],FIND("~",SUBSTITUTE(Tabla1[[#This Row],[ENLACE]],"/","~",2))+1,LEN(Tabla1[[#This Row],[ENLACE]]))</f>
        <v>daejeon-hana-citizen</v>
      </c>
      <c r="B705" t="s">
        <v>709</v>
      </c>
      <c r="C705" t="str">
        <f>_xlfn.TEXTBEFORE(_xlfn.TEXTAFTER(Tabla1[[#This Row],[ENLACE]],"/",1),"/")</f>
        <v>south-korea</v>
      </c>
      <c r="D705" t="str">
        <f>Tabla1[[#This Row],[PAIS]]</f>
        <v>south-korea</v>
      </c>
      <c r="E705" s="8" t="str">
        <f ca="1">IF(VLOOKUP(Tabla1[[#This Row],[PAIS]],$H$2:$I$34,2)="x","SI","NO")</f>
        <v>SI</v>
      </c>
    </row>
    <row r="706" spans="1:5" x14ac:dyDescent="0.3">
      <c r="A706" t="str">
        <f>MID(Tabla1[[#This Row],[ENLACE]],FIND("~",SUBSTITUTE(Tabla1[[#This Row],[ENLACE]],"/","~",2))+1,LEN(Tabla1[[#This Row],[ENLACE]]))</f>
        <v>gangwon-fc</v>
      </c>
      <c r="B706" t="s">
        <v>710</v>
      </c>
      <c r="C706" t="str">
        <f>_xlfn.TEXTBEFORE(_xlfn.TEXTAFTER(Tabla1[[#This Row],[ENLACE]],"/",1),"/")</f>
        <v>south-korea</v>
      </c>
      <c r="D706" t="str">
        <f>Tabla1[[#This Row],[PAIS]]</f>
        <v>south-korea</v>
      </c>
      <c r="E706" s="8" t="str">
        <f ca="1">IF(VLOOKUP(Tabla1[[#This Row],[PAIS]],$H$2:$I$34,2)="x","SI","NO")</f>
        <v>SI</v>
      </c>
    </row>
    <row r="707" spans="1:5" x14ac:dyDescent="0.3">
      <c r="A707" t="str">
        <f>MID(Tabla1[[#This Row],[ENLACE]],FIND("~",SUBSTITUTE(Tabla1[[#This Row],[ENLACE]],"/","~",2))+1,LEN(Tabla1[[#This Row],[ENLACE]]))</f>
        <v>gimcheon-sangmu-fc</v>
      </c>
      <c r="B707" t="s">
        <v>711</v>
      </c>
      <c r="C707" t="str">
        <f>_xlfn.TEXTBEFORE(_xlfn.TEXTAFTER(Tabla1[[#This Row],[ENLACE]],"/",1),"/")</f>
        <v>south-korea</v>
      </c>
      <c r="D707" t="str">
        <f>Tabla1[[#This Row],[PAIS]]</f>
        <v>south-korea</v>
      </c>
      <c r="E707" s="8" t="str">
        <f ca="1">IF(VLOOKUP(Tabla1[[#This Row],[PAIS]],$H$2:$I$34,2)="x","SI","NO")</f>
        <v>SI</v>
      </c>
    </row>
    <row r="708" spans="1:5" x14ac:dyDescent="0.3">
      <c r="A708" t="str">
        <f>MID(Tabla1[[#This Row],[ENLACE]],FIND("~",SUBSTITUTE(Tabla1[[#This Row],[ENLACE]],"/","~",2))+1,LEN(Tabla1[[#This Row],[ENLACE]]))</f>
        <v>gwangju-fc</v>
      </c>
      <c r="B708" t="s">
        <v>712</v>
      </c>
      <c r="C708" t="str">
        <f>_xlfn.TEXTBEFORE(_xlfn.TEXTAFTER(Tabla1[[#This Row],[ENLACE]],"/",1),"/")</f>
        <v>south-korea</v>
      </c>
      <c r="D708" t="str">
        <f>Tabla1[[#This Row],[PAIS]]</f>
        <v>south-korea</v>
      </c>
      <c r="E708" s="8" t="str">
        <f ca="1">IF(VLOOKUP(Tabla1[[#This Row],[PAIS]],$H$2:$I$34,2)="x","SI","NO")</f>
        <v>SI</v>
      </c>
    </row>
    <row r="709" spans="1:5" x14ac:dyDescent="0.3">
      <c r="A709" t="str">
        <f>MID(Tabla1[[#This Row],[ENLACE]],FIND("~",SUBSTITUTE(Tabla1[[#This Row],[ENLACE]],"/","~",2))+1,LEN(Tabla1[[#This Row],[ENLACE]]))</f>
        <v>incheon-united</v>
      </c>
      <c r="B709" t="s">
        <v>713</v>
      </c>
      <c r="C709" t="str">
        <f>_xlfn.TEXTBEFORE(_xlfn.TEXTAFTER(Tabla1[[#This Row],[ENLACE]],"/",1),"/")</f>
        <v>south-korea</v>
      </c>
      <c r="D709" t="str">
        <f>Tabla1[[#This Row],[PAIS]]</f>
        <v>south-korea</v>
      </c>
      <c r="E709" s="8" t="str">
        <f ca="1">IF(VLOOKUP(Tabla1[[#This Row],[PAIS]],$H$2:$I$34,2)="x","SI","NO")</f>
        <v>SI</v>
      </c>
    </row>
    <row r="710" spans="1:5" x14ac:dyDescent="0.3">
      <c r="A710" t="str">
        <f>MID(Tabla1[[#This Row],[ENLACE]],FIND("~",SUBSTITUTE(Tabla1[[#This Row],[ENLACE]],"/","~",2))+1,LEN(Tabla1[[#This Row],[ENLACE]]))</f>
        <v>jeju-sk-fc</v>
      </c>
      <c r="B710" t="s">
        <v>714</v>
      </c>
      <c r="C710" t="str">
        <f>_xlfn.TEXTBEFORE(_xlfn.TEXTAFTER(Tabla1[[#This Row],[ENLACE]],"/",1),"/")</f>
        <v>south-korea</v>
      </c>
      <c r="D710" t="str">
        <f>Tabla1[[#This Row],[PAIS]]</f>
        <v>south-korea</v>
      </c>
      <c r="E710" s="8" t="str">
        <f ca="1">IF(VLOOKUP(Tabla1[[#This Row],[PAIS]],$H$2:$I$34,2)="x","SI","NO")</f>
        <v>SI</v>
      </c>
    </row>
    <row r="711" spans="1:5" x14ac:dyDescent="0.3">
      <c r="A711" t="str">
        <f>MID(Tabla1[[#This Row],[ENLACE]],FIND("~",SUBSTITUTE(Tabla1[[#This Row],[ENLACE]],"/","~",2))+1,LEN(Tabla1[[#This Row],[ENLACE]]))</f>
        <v>jeonbuk-hyundai-motors</v>
      </c>
      <c r="B711" t="s">
        <v>715</v>
      </c>
      <c r="C711" t="str">
        <f>_xlfn.TEXTBEFORE(_xlfn.TEXTAFTER(Tabla1[[#This Row],[ENLACE]],"/",1),"/")</f>
        <v>south-korea</v>
      </c>
      <c r="D711" t="str">
        <f>Tabla1[[#This Row],[PAIS]]</f>
        <v>south-korea</v>
      </c>
      <c r="E711" s="8" t="str">
        <f ca="1">IF(VLOOKUP(Tabla1[[#This Row],[PAIS]],$H$2:$I$34,2)="x","SI","NO")</f>
        <v>SI</v>
      </c>
    </row>
    <row r="712" spans="1:5" x14ac:dyDescent="0.3">
      <c r="A712" t="str">
        <f>MID(Tabla1[[#This Row],[ENLACE]],FIND("~",SUBSTITUTE(Tabla1[[#This Row],[ENLACE]],"/","~",2))+1,LEN(Tabla1[[#This Row],[ENLACE]]))</f>
        <v>pohang-steelers</v>
      </c>
      <c r="B712" t="s">
        <v>716</v>
      </c>
      <c r="C712" t="str">
        <f>_xlfn.TEXTBEFORE(_xlfn.TEXTAFTER(Tabla1[[#This Row],[ENLACE]],"/",1),"/")</f>
        <v>south-korea</v>
      </c>
      <c r="D712" t="str">
        <f>Tabla1[[#This Row],[PAIS]]</f>
        <v>south-korea</v>
      </c>
      <c r="E712" s="8" t="str">
        <f ca="1">IF(VLOOKUP(Tabla1[[#This Row],[PAIS]],$H$2:$I$34,2)="x","SI","NO")</f>
        <v>SI</v>
      </c>
    </row>
    <row r="713" spans="1:5" x14ac:dyDescent="0.3">
      <c r="A713" t="str">
        <f>MID(Tabla1[[#This Row],[ENLACE]],FIND("~",SUBSTITUTE(Tabla1[[#This Row],[ENLACE]],"/","~",2))+1,LEN(Tabla1[[#This Row],[ENLACE]]))</f>
        <v>fc-seoul</v>
      </c>
      <c r="B713" t="s">
        <v>717</v>
      </c>
      <c r="C713" t="str">
        <f>_xlfn.TEXTBEFORE(_xlfn.TEXTAFTER(Tabla1[[#This Row],[ENLACE]],"/",1),"/")</f>
        <v>south-korea</v>
      </c>
      <c r="D713" t="str">
        <f>Tabla1[[#This Row],[PAIS]]</f>
        <v>south-korea</v>
      </c>
      <c r="E713" s="8" t="str">
        <f ca="1">IF(VLOOKUP(Tabla1[[#This Row],[PAIS]],$H$2:$I$34,2)="x","SI","NO")</f>
        <v>SI</v>
      </c>
    </row>
    <row r="714" spans="1:5" x14ac:dyDescent="0.3">
      <c r="A714" t="str">
        <f>MID(Tabla1[[#This Row],[ENLACE]],FIND("~",SUBSTITUTE(Tabla1[[#This Row],[ENLACE]],"/","~",2))+1,LEN(Tabla1[[#This Row],[ENLACE]]))</f>
        <v>ulsan-hd-fc</v>
      </c>
      <c r="B714" t="s">
        <v>718</v>
      </c>
      <c r="C714" t="str">
        <f>_xlfn.TEXTBEFORE(_xlfn.TEXTAFTER(Tabla1[[#This Row],[ENLACE]],"/",1),"/")</f>
        <v>south-korea</v>
      </c>
      <c r="D714" t="str">
        <f>Tabla1[[#This Row],[PAIS]]</f>
        <v>south-korea</v>
      </c>
      <c r="E714" s="8" t="str">
        <f ca="1">IF(VLOOKUP(Tabla1[[#This Row],[PAIS]],$H$2:$I$34,2)="x","SI","NO")</f>
        <v>SI</v>
      </c>
    </row>
    <row r="715" spans="1:5" x14ac:dyDescent="0.3">
      <c r="A715" t="str">
        <f>MID(Tabla1[[#This Row],[ENLACE]],FIND("~",SUBSTITUTE(Tabla1[[#This Row],[ENLACE]],"/","~",2))+1,LEN(Tabla1[[#This Row],[ENLACE]]))</f>
        <v>beijing-guoan-fc</v>
      </c>
      <c r="B715" t="s">
        <v>719</v>
      </c>
      <c r="C715" t="str">
        <f>_xlfn.TEXTBEFORE(_xlfn.TEXTAFTER(Tabla1[[#This Row],[ENLACE]],"/",1),"/")</f>
        <v>china</v>
      </c>
      <c r="D715" t="str">
        <f>Tabla1[[#This Row],[PAIS]]</f>
        <v>china</v>
      </c>
      <c r="E715" s="8" t="str">
        <f ca="1">IF(VLOOKUP(Tabla1[[#This Row],[PAIS]],$H$2:$I$34,2)="x","SI","NO")</f>
        <v>SI</v>
      </c>
    </row>
    <row r="716" spans="1:5" x14ac:dyDescent="0.3">
      <c r="A716" t="str">
        <f>MID(Tabla1[[#This Row],[ENLACE]],FIND("~",SUBSTITUTE(Tabla1[[#This Row],[ENLACE]],"/","~",2))+1,LEN(Tabla1[[#This Row],[ENLACE]]))</f>
        <v>chengdu-rongcheng-fc</v>
      </c>
      <c r="B716" t="s">
        <v>720</v>
      </c>
      <c r="C716" t="str">
        <f>_xlfn.TEXTBEFORE(_xlfn.TEXTAFTER(Tabla1[[#This Row],[ENLACE]],"/",1),"/")</f>
        <v>china</v>
      </c>
      <c r="D716" t="str">
        <f>Tabla1[[#This Row],[PAIS]]</f>
        <v>china</v>
      </c>
      <c r="E716" s="8" t="str">
        <f ca="1">IF(VLOOKUP(Tabla1[[#This Row],[PAIS]],$H$2:$I$34,2)="x","SI","NO")</f>
        <v>SI</v>
      </c>
    </row>
    <row r="717" spans="1:5" x14ac:dyDescent="0.3">
      <c r="A717" t="str">
        <f>MID(Tabla1[[#This Row],[ENLACE]],FIND("~",SUBSTITUTE(Tabla1[[#This Row],[ENLACE]],"/","~",2))+1,LEN(Tabla1[[#This Row],[ENLACE]]))</f>
        <v>chongqing-tonglianglong-fc</v>
      </c>
      <c r="B717" t="s">
        <v>721</v>
      </c>
      <c r="C717" t="str">
        <f>_xlfn.TEXTBEFORE(_xlfn.TEXTAFTER(Tabla1[[#This Row],[ENLACE]],"/",1),"/")</f>
        <v>china</v>
      </c>
      <c r="D717" t="str">
        <f>Tabla1[[#This Row],[PAIS]]</f>
        <v>china</v>
      </c>
      <c r="E717" s="8" t="str">
        <f ca="1">IF(VLOOKUP(Tabla1[[#This Row],[PAIS]],$H$2:$I$34,2)="x","SI","NO")</f>
        <v>SI</v>
      </c>
    </row>
    <row r="718" spans="1:5" x14ac:dyDescent="0.3">
      <c r="A718" t="str">
        <f>MID(Tabla1[[#This Row],[ENLACE]],FIND("~",SUBSTITUTE(Tabla1[[#This Row],[ENLACE]],"/","~",2))+1,LEN(Tabla1[[#This Row],[ENLACE]]))</f>
        <v>dalian-yingbo-fc</v>
      </c>
      <c r="B718" t="s">
        <v>722</v>
      </c>
      <c r="C718" t="str">
        <f>_xlfn.TEXTBEFORE(_xlfn.TEXTAFTER(Tabla1[[#This Row],[ENLACE]],"/",1),"/")</f>
        <v>china</v>
      </c>
      <c r="D718" t="str">
        <f>Tabla1[[#This Row],[PAIS]]</f>
        <v>china</v>
      </c>
      <c r="E718" s="8" t="str">
        <f ca="1">IF(VLOOKUP(Tabla1[[#This Row],[PAIS]],$H$2:$I$34,2)="x","SI","NO")</f>
        <v>SI</v>
      </c>
    </row>
    <row r="719" spans="1:5" x14ac:dyDescent="0.3">
      <c r="A719" t="str">
        <f>MID(Tabla1[[#This Row],[ENLACE]],FIND("~",SUBSTITUTE(Tabla1[[#This Row],[ENLACE]],"/","~",2))+1,LEN(Tabla1[[#This Row],[ENLACE]]))</f>
        <v>henan-fc</v>
      </c>
      <c r="B719" t="s">
        <v>723</v>
      </c>
      <c r="C719" t="str">
        <f>_xlfn.TEXTBEFORE(_xlfn.TEXTAFTER(Tabla1[[#This Row],[ENLACE]],"/",1),"/")</f>
        <v>china</v>
      </c>
      <c r="D719" t="str">
        <f>Tabla1[[#This Row],[PAIS]]</f>
        <v>china</v>
      </c>
      <c r="E719" s="8" t="str">
        <f ca="1">IF(VLOOKUP(Tabla1[[#This Row],[PAIS]],$H$2:$I$34,2)="x","SI","NO")</f>
        <v>SI</v>
      </c>
    </row>
    <row r="720" spans="1:5" x14ac:dyDescent="0.3">
      <c r="A720" t="str">
        <f>MID(Tabla1[[#This Row],[ENLACE]],FIND("~",SUBSTITUTE(Tabla1[[#This Row],[ENLACE]],"/","~",2))+1,LEN(Tabla1[[#This Row],[ENLACE]]))</f>
        <v>liaoning-tieren-fc</v>
      </c>
      <c r="B720" t="s">
        <v>724</v>
      </c>
      <c r="C720" t="str">
        <f>_xlfn.TEXTBEFORE(_xlfn.TEXTAFTER(Tabla1[[#This Row],[ENLACE]],"/",1),"/")</f>
        <v>china</v>
      </c>
      <c r="D720" t="str">
        <f>Tabla1[[#This Row],[PAIS]]</f>
        <v>china</v>
      </c>
      <c r="E720" s="8" t="str">
        <f ca="1">IF(VLOOKUP(Tabla1[[#This Row],[PAIS]],$H$2:$I$34,2)="x","SI","NO")</f>
        <v>SI</v>
      </c>
    </row>
    <row r="721" spans="1:5" x14ac:dyDescent="0.3">
      <c r="A721" t="str">
        <f>MID(Tabla1[[#This Row],[ENLACE]],FIND("~",SUBSTITUTE(Tabla1[[#This Row],[ENLACE]],"/","~",2))+1,LEN(Tabla1[[#This Row],[ENLACE]]))</f>
        <v>qingdao-hainiu-fc</v>
      </c>
      <c r="B721" t="s">
        <v>725</v>
      </c>
      <c r="C721" t="str">
        <f>_xlfn.TEXTBEFORE(_xlfn.TEXTAFTER(Tabla1[[#This Row],[ENLACE]],"/",1),"/")</f>
        <v>china</v>
      </c>
      <c r="D721" t="str">
        <f>Tabla1[[#This Row],[PAIS]]</f>
        <v>china</v>
      </c>
      <c r="E721" s="8" t="str">
        <f ca="1">IF(VLOOKUP(Tabla1[[#This Row],[PAIS]],$H$2:$I$34,2)="x","SI","NO")</f>
        <v>SI</v>
      </c>
    </row>
    <row r="722" spans="1:5" x14ac:dyDescent="0.3">
      <c r="A722" t="str">
        <f>MID(Tabla1[[#This Row],[ENLACE]],FIND("~",SUBSTITUTE(Tabla1[[#This Row],[ENLACE]],"/","~",2))+1,LEN(Tabla1[[#This Row],[ENLACE]]))</f>
        <v>qingdao-west-coast-fc</v>
      </c>
      <c r="B722" t="s">
        <v>726</v>
      </c>
      <c r="C722" t="str">
        <f>_xlfn.TEXTBEFORE(_xlfn.TEXTAFTER(Tabla1[[#This Row],[ENLACE]],"/",1),"/")</f>
        <v>china</v>
      </c>
      <c r="D722" t="str">
        <f>Tabla1[[#This Row],[PAIS]]</f>
        <v>china</v>
      </c>
      <c r="E722" s="8" t="str">
        <f ca="1">IF(VLOOKUP(Tabla1[[#This Row],[PAIS]],$H$2:$I$34,2)="x","SI","NO")</f>
        <v>SI</v>
      </c>
    </row>
    <row r="723" spans="1:5" x14ac:dyDescent="0.3">
      <c r="A723" t="str">
        <f>MID(Tabla1[[#This Row],[ENLACE]],FIND("~",SUBSTITUTE(Tabla1[[#This Row],[ENLACE]],"/","~",2))+1,LEN(Tabla1[[#This Row],[ENLACE]]))</f>
        <v>shandong-taishan-fc</v>
      </c>
      <c r="B723" t="s">
        <v>727</v>
      </c>
      <c r="C723" t="str">
        <f>_xlfn.TEXTBEFORE(_xlfn.TEXTAFTER(Tabla1[[#This Row],[ENLACE]],"/",1),"/")</f>
        <v>china</v>
      </c>
      <c r="D723" t="str">
        <f>Tabla1[[#This Row],[PAIS]]</f>
        <v>china</v>
      </c>
      <c r="E723" s="8" t="str">
        <f ca="1">IF(VLOOKUP(Tabla1[[#This Row],[PAIS]],$H$2:$I$34,2)="x","SI","NO")</f>
        <v>SI</v>
      </c>
    </row>
    <row r="724" spans="1:5" x14ac:dyDescent="0.3">
      <c r="A724" t="str">
        <f>MID(Tabla1[[#This Row],[ENLACE]],FIND("~",SUBSTITUTE(Tabla1[[#This Row],[ENLACE]],"/","~",2))+1,LEN(Tabla1[[#This Row],[ENLACE]]))</f>
        <v>shanghai-port-fc</v>
      </c>
      <c r="B724" t="s">
        <v>728</v>
      </c>
      <c r="C724" t="str">
        <f>_xlfn.TEXTBEFORE(_xlfn.TEXTAFTER(Tabla1[[#This Row],[ENLACE]],"/",1),"/")</f>
        <v>china</v>
      </c>
      <c r="D724" t="str">
        <f>Tabla1[[#This Row],[PAIS]]</f>
        <v>china</v>
      </c>
      <c r="E724" s="8" t="str">
        <f ca="1">IF(VLOOKUP(Tabla1[[#This Row],[PAIS]],$H$2:$I$34,2)="x","SI","NO")</f>
        <v>SI</v>
      </c>
    </row>
    <row r="725" spans="1:5" x14ac:dyDescent="0.3">
      <c r="A725" t="str">
        <f>MID(Tabla1[[#This Row],[ENLACE]],FIND("~",SUBSTITUTE(Tabla1[[#This Row],[ENLACE]],"/","~",2))+1,LEN(Tabla1[[#This Row],[ENLACE]]))</f>
        <v>shanghai-shenhua-fc</v>
      </c>
      <c r="B725" t="s">
        <v>729</v>
      </c>
      <c r="C725" t="str">
        <f>_xlfn.TEXTBEFORE(_xlfn.TEXTAFTER(Tabla1[[#This Row],[ENLACE]],"/",1),"/")</f>
        <v>china</v>
      </c>
      <c r="D725" t="str">
        <f>Tabla1[[#This Row],[PAIS]]</f>
        <v>china</v>
      </c>
      <c r="E725" s="8" t="str">
        <f ca="1">IF(VLOOKUP(Tabla1[[#This Row],[PAIS]],$H$2:$I$34,2)="x","SI","NO")</f>
        <v>SI</v>
      </c>
    </row>
    <row r="726" spans="1:5" x14ac:dyDescent="0.3">
      <c r="A726" t="str">
        <f>MID(Tabla1[[#This Row],[ENLACE]],FIND("~",SUBSTITUTE(Tabla1[[#This Row],[ENLACE]],"/","~",2))+1,LEN(Tabla1[[#This Row],[ENLACE]]))</f>
        <v>shenzhen-peng-city-fc</v>
      </c>
      <c r="B726" t="s">
        <v>730</v>
      </c>
      <c r="C726" t="str">
        <f>_xlfn.TEXTBEFORE(_xlfn.TEXTAFTER(Tabla1[[#This Row],[ENLACE]],"/",1),"/")</f>
        <v>china</v>
      </c>
      <c r="D726" t="str">
        <f>Tabla1[[#This Row],[PAIS]]</f>
        <v>china</v>
      </c>
      <c r="E726" s="8" t="str">
        <f ca="1">IF(VLOOKUP(Tabla1[[#This Row],[PAIS]],$H$2:$I$34,2)="x","SI","NO")</f>
        <v>SI</v>
      </c>
    </row>
    <row r="727" spans="1:5" x14ac:dyDescent="0.3">
      <c r="A727" t="str">
        <f>MID(Tabla1[[#This Row],[ENLACE]],FIND("~",SUBSTITUTE(Tabla1[[#This Row],[ENLACE]],"/","~",2))+1,LEN(Tabla1[[#This Row],[ENLACE]]))</f>
        <v>tianjin-jinmen-tiger-fc</v>
      </c>
      <c r="B727" t="s">
        <v>731</v>
      </c>
      <c r="C727" t="str">
        <f>_xlfn.TEXTBEFORE(_xlfn.TEXTAFTER(Tabla1[[#This Row],[ENLACE]],"/",1),"/")</f>
        <v>china</v>
      </c>
      <c r="D727" t="str">
        <f>Tabla1[[#This Row],[PAIS]]</f>
        <v>china</v>
      </c>
      <c r="E727" s="8" t="str">
        <f ca="1">IF(VLOOKUP(Tabla1[[#This Row],[PAIS]],$H$2:$I$34,2)="x","SI","NO")</f>
        <v>SI</v>
      </c>
    </row>
    <row r="728" spans="1:5" x14ac:dyDescent="0.3">
      <c r="A728" t="str">
        <f>MID(Tabla1[[#This Row],[ENLACE]],FIND("~",SUBSTITUTE(Tabla1[[#This Row],[ENLACE]],"/","~",2))+1,LEN(Tabla1[[#This Row],[ENLACE]]))</f>
        <v>wuhan-three-towns-fc</v>
      </c>
      <c r="B728" t="s">
        <v>732</v>
      </c>
      <c r="C728" t="str">
        <f>_xlfn.TEXTBEFORE(_xlfn.TEXTAFTER(Tabla1[[#This Row],[ENLACE]],"/",1),"/")</f>
        <v>china</v>
      </c>
      <c r="D728" t="str">
        <f>Tabla1[[#This Row],[PAIS]]</f>
        <v>china</v>
      </c>
      <c r="E728" s="8" t="str">
        <f ca="1">IF(VLOOKUP(Tabla1[[#This Row],[PAIS]],$H$2:$I$34,2)="x","SI","NO")</f>
        <v>SI</v>
      </c>
    </row>
    <row r="729" spans="1:5" x14ac:dyDescent="0.3">
      <c r="A729" t="str">
        <f>MID(Tabla1[[#This Row],[ENLACE]],FIND("~",SUBSTITUTE(Tabla1[[#This Row],[ENLACE]],"/","~",2))+1,LEN(Tabla1[[#This Row],[ENLACE]]))</f>
        <v>yunnan-yukun-fc</v>
      </c>
      <c r="B729" t="s">
        <v>733</v>
      </c>
      <c r="C729" t="str">
        <f>_xlfn.TEXTBEFORE(_xlfn.TEXTAFTER(Tabla1[[#This Row],[ENLACE]],"/",1),"/")</f>
        <v>china</v>
      </c>
      <c r="D729" t="str">
        <f>Tabla1[[#This Row],[PAIS]]</f>
        <v>china</v>
      </c>
      <c r="E729" s="8" t="str">
        <f ca="1">IF(VLOOKUP(Tabla1[[#This Row],[PAIS]],$H$2:$I$34,2)="x","SI","NO")</f>
        <v>SI</v>
      </c>
    </row>
    <row r="730" spans="1:5" x14ac:dyDescent="0.3">
      <c r="A730" t="str">
        <f>MID(Tabla1[[#This Row],[ENLACE]],FIND("~",SUBSTITUTE(Tabla1[[#This Row],[ENLACE]],"/","~",2))+1,LEN(Tabla1[[#This Row],[ENLACE]]))</f>
        <v>zhejiang-professional-fc</v>
      </c>
      <c r="B730" t="s">
        <v>734</v>
      </c>
      <c r="C730" t="str">
        <f>_xlfn.TEXTBEFORE(_xlfn.TEXTAFTER(Tabla1[[#This Row],[ENLACE]],"/",1),"/")</f>
        <v>china</v>
      </c>
      <c r="D730" t="str">
        <f>Tabla1[[#This Row],[PAIS]]</f>
        <v>china</v>
      </c>
      <c r="E730" s="8" t="str">
        <f ca="1">IF(VLOOKUP(Tabla1[[#This Row],[PAIS]],$H$2:$I$34,2)="x","SI","NO")</f>
        <v>SI</v>
      </c>
    </row>
  </sheetData>
  <conditionalFormatting sqref="K2:K41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8:D241 D514:D535 D290:D307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2026-10-16T21:13:40Z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