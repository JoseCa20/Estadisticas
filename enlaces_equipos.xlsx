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DF14C381-3CDA-4C4A-80E3-1C2351578325}" xr6:coauthVersionLast="47" xr6:coauthVersionMax="47" xr10:uidLastSave="{00000000-0000-0000-0000-000000000000}"/>
  <bookViews>
    <workbookView xWindow="0" yWindow="0" windowWidth="23040" windowHeight="12240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D80" i="1"/>
  <c r="D81" i="1"/>
  <c r="D82" i="1"/>
  <c r="D83" i="1"/>
  <c r="D92" i="1"/>
  <c r="D93" i="1"/>
  <c r="D112" i="1"/>
  <c r="D113" i="1"/>
  <c r="D151" i="1"/>
  <c r="D166" i="1"/>
  <c r="D167" i="1"/>
  <c r="D182" i="1"/>
  <c r="D183" i="1"/>
  <c r="D184" i="1"/>
  <c r="D191" i="1"/>
  <c r="D192" i="1"/>
  <c r="D194" i="1"/>
  <c r="D195" i="1"/>
  <c r="D197" i="1"/>
  <c r="D243" i="1"/>
  <c r="D244" i="1"/>
  <c r="D245" i="1"/>
  <c r="D286" i="1"/>
  <c r="D287" i="1"/>
  <c r="D297" i="1"/>
  <c r="D298" i="1"/>
  <c r="D300" i="1"/>
  <c r="D301" i="1"/>
  <c r="D312" i="1"/>
  <c r="D313" i="1"/>
  <c r="D323" i="1"/>
  <c r="D324" i="1"/>
  <c r="D325" i="1"/>
  <c r="D348" i="1"/>
  <c r="D349" i="1"/>
  <c r="D397" i="1"/>
  <c r="D409" i="1"/>
  <c r="D479" i="1"/>
  <c r="D480" i="1"/>
  <c r="D536" i="1"/>
  <c r="D537" i="1"/>
  <c r="D538" i="1"/>
  <c r="D539" i="1"/>
  <c r="D547" i="1"/>
  <c r="D548" i="1"/>
  <c r="D550" i="1"/>
  <c r="D551" i="1"/>
  <c r="D574" i="1"/>
  <c r="D575" i="1"/>
  <c r="D583" i="1"/>
  <c r="D584" i="1"/>
  <c r="D585" i="1"/>
  <c r="D604" i="1"/>
  <c r="D606" i="1"/>
  <c r="D608" i="1"/>
  <c r="D618" i="1"/>
  <c r="D619" i="1"/>
  <c r="D620" i="1"/>
  <c r="D621" i="1"/>
  <c r="I34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2" i="1"/>
  <c r="D602" i="1" s="1"/>
  <c r="C603" i="1"/>
  <c r="D603" i="1" s="1"/>
  <c r="C604" i="1"/>
  <c r="C605" i="1"/>
  <c r="D605" i="1" s="1"/>
  <c r="C606" i="1"/>
  <c r="C607" i="1"/>
  <c r="D607" i="1" s="1"/>
  <c r="C608" i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C619" i="1"/>
  <c r="C620" i="1"/>
  <c r="C621" i="1"/>
  <c r="C622" i="1"/>
  <c r="D622" i="1" s="1"/>
  <c r="A592" i="1"/>
  <c r="A593" i="1"/>
  <c r="A594" i="1"/>
  <c r="A595" i="1"/>
  <c r="A596" i="1"/>
  <c r="A597" i="1"/>
  <c r="A598" i="1"/>
  <c r="A599" i="1"/>
  <c r="A600" i="1"/>
  <c r="A601" i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C244" i="1"/>
  <c r="C245" i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D180" i="1" s="1"/>
  <c r="C181" i="1"/>
  <c r="D181" i="1" s="1"/>
  <c r="C182" i="1"/>
  <c r="C183" i="1"/>
  <c r="C184" i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C192" i="1"/>
  <c r="C193" i="1"/>
  <c r="D193" i="1" s="1"/>
  <c r="C194" i="1"/>
  <c r="C19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C313" i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C196" i="1"/>
  <c r="D196" i="1" s="1"/>
  <c r="C197" i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C81" i="1"/>
  <c r="C82" i="1"/>
  <c r="C83" i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C93" i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C113" i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C167" i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C287" i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C298" i="1"/>
  <c r="C299" i="1"/>
  <c r="D299" i="1" s="1"/>
  <c r="C300" i="1"/>
  <c r="C301" i="1"/>
  <c r="C302" i="1"/>
  <c r="D302" i="1" s="1"/>
  <c r="C303" i="1"/>
  <c r="D303" i="1" s="1"/>
  <c r="C304" i="1"/>
  <c r="D304" i="1" s="1"/>
  <c r="C305" i="1"/>
  <c r="D305" i="1" s="1"/>
  <c r="C320" i="1"/>
  <c r="D320" i="1" s="1"/>
  <c r="C321" i="1"/>
  <c r="D321" i="1" s="1"/>
  <c r="C322" i="1"/>
  <c r="D322" i="1" s="1"/>
  <c r="C323" i="1"/>
  <c r="C324" i="1"/>
  <c r="C325" i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C349" i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C480" i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D534" i="1" s="1"/>
  <c r="C535" i="1"/>
  <c r="D535" i="1" s="1"/>
  <c r="C536" i="1"/>
  <c r="C537" i="1"/>
  <c r="C538" i="1"/>
  <c r="C539" i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C548" i="1"/>
  <c r="C549" i="1"/>
  <c r="D549" i="1" s="1"/>
  <c r="C550" i="1"/>
  <c r="C551" i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C575" i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C584" i="1"/>
  <c r="C585" i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H2" i="1" l="1" a="1"/>
  <c r="E608" i="1" l="1"/>
  <c r="E620" i="1"/>
  <c r="E609" i="1"/>
  <c r="E621" i="1"/>
  <c r="E618" i="1"/>
  <c r="E606" i="1"/>
  <c r="E613" i="1"/>
  <c r="E614" i="1"/>
  <c r="E602" i="1"/>
  <c r="E619" i="1"/>
  <c r="E605" i="1"/>
  <c r="E607" i="1"/>
  <c r="E617" i="1"/>
  <c r="E603" i="1"/>
  <c r="E612" i="1"/>
  <c r="E604" i="1"/>
  <c r="E622" i="1"/>
  <c r="E616" i="1"/>
  <c r="E615" i="1"/>
  <c r="E610" i="1"/>
  <c r="E611" i="1"/>
  <c r="E596" i="1"/>
  <c r="E595" i="1"/>
  <c r="E597" i="1"/>
  <c r="E594" i="1"/>
  <c r="E593" i="1"/>
  <c r="E592" i="1"/>
  <c r="E599" i="1"/>
  <c r="E600" i="1"/>
  <c r="E601" i="1"/>
  <c r="E598" i="1"/>
  <c r="E490" i="1"/>
  <c r="E288" i="1"/>
  <c r="E181" i="1"/>
  <c r="E202" i="1"/>
  <c r="E141" i="1"/>
  <c r="E510" i="1"/>
  <c r="E184" i="1"/>
  <c r="E547" i="1"/>
  <c r="E415" i="1"/>
  <c r="E568" i="1"/>
  <c r="E254" i="1"/>
  <c r="E216" i="1"/>
  <c r="E573" i="1"/>
  <c r="E178" i="1"/>
  <c r="E542" i="1"/>
  <c r="E488" i="1"/>
  <c r="E36" i="1"/>
  <c r="E478" i="1"/>
  <c r="E114" i="1"/>
  <c r="E427" i="1"/>
  <c r="E230" i="1"/>
  <c r="E132" i="1"/>
  <c r="E166" i="1"/>
  <c r="E506" i="1"/>
  <c r="E83" i="1"/>
  <c r="E439" i="1"/>
  <c r="E453" i="1"/>
  <c r="E148" i="1"/>
  <c r="E362" i="1"/>
  <c r="E275" i="1"/>
  <c r="E381" i="1"/>
  <c r="E570" i="1"/>
  <c r="E462" i="1"/>
  <c r="E92" i="1"/>
  <c r="E392" i="1"/>
  <c r="E206" i="1"/>
  <c r="E563" i="1"/>
  <c r="E120" i="1"/>
  <c r="E543" i="1"/>
  <c r="E130" i="1"/>
  <c r="E494" i="1"/>
  <c r="E578" i="1"/>
  <c r="E395" i="1"/>
  <c r="E104" i="1"/>
  <c r="E146" i="1"/>
  <c r="E218" i="1"/>
  <c r="E346" i="1"/>
  <c r="E536" i="1"/>
  <c r="E442" i="1"/>
  <c r="E160" i="1"/>
  <c r="E182" i="1"/>
  <c r="E545" i="1"/>
  <c r="E108" i="1"/>
  <c r="E531" i="1"/>
  <c r="E72" i="1"/>
  <c r="E482" i="1"/>
  <c r="E48" i="1"/>
  <c r="E322" i="1"/>
  <c r="E37" i="1"/>
  <c r="E450" i="1"/>
  <c r="E301" i="1"/>
  <c r="E393" i="1"/>
  <c r="E371" i="1"/>
  <c r="E590" i="1"/>
  <c r="E136" i="1"/>
  <c r="E283" i="1"/>
  <c r="E533" i="1"/>
  <c r="E544" i="1"/>
  <c r="E519" i="1"/>
  <c r="E508" i="1"/>
  <c r="E470" i="1"/>
  <c r="E188" i="1"/>
  <c r="E404" i="1"/>
  <c r="E259" i="1"/>
  <c r="E548" i="1"/>
  <c r="E546" i="1"/>
  <c r="E68" i="1"/>
  <c r="E198" i="1"/>
  <c r="E257" i="1"/>
  <c r="E355" i="1"/>
  <c r="E112" i="1"/>
  <c r="E271" i="1"/>
  <c r="E437" i="1"/>
  <c r="E520" i="1"/>
  <c r="E400" i="1"/>
  <c r="E484" i="1"/>
  <c r="E351" i="1"/>
  <c r="E176" i="1"/>
  <c r="E122" i="1"/>
  <c r="E173" i="1"/>
  <c r="E523" i="1"/>
  <c r="E277" i="1"/>
  <c r="E163" i="1"/>
  <c r="E209" i="1"/>
  <c r="E159" i="1"/>
  <c r="E552" i="1"/>
  <c r="E583" i="1"/>
  <c r="E425" i="1"/>
  <c r="E496" i="1"/>
  <c r="E388" i="1"/>
  <c r="E424" i="1"/>
  <c r="E339" i="1"/>
  <c r="E164" i="1"/>
  <c r="E438" i="1"/>
  <c r="E297" i="1"/>
  <c r="E100" i="1"/>
  <c r="E489" i="1"/>
  <c r="E511" i="1"/>
  <c r="E579" i="1"/>
  <c r="E334" i="1"/>
  <c r="E135" i="1"/>
  <c r="E409" i="1"/>
  <c r="E513" i="1"/>
  <c r="E241" i="1"/>
  <c r="E413" i="1"/>
  <c r="E401" i="1"/>
  <c r="E376" i="1"/>
  <c r="E377" i="1"/>
  <c r="E327" i="1"/>
  <c r="E152" i="1"/>
  <c r="E576" i="1"/>
  <c r="E417" i="1"/>
  <c r="E474" i="1"/>
  <c r="E59" i="1"/>
  <c r="E240" i="1"/>
  <c r="E317" i="1"/>
  <c r="E359" i="1"/>
  <c r="E440" i="1"/>
  <c r="E33" i="1"/>
  <c r="E169" i="1"/>
  <c r="E227" i="1"/>
  <c r="E293" i="1"/>
  <c r="E451" i="1"/>
  <c r="E149" i="1"/>
  <c r="E125" i="1"/>
  <c r="E321" i="1"/>
  <c r="E454" i="1"/>
  <c r="E70" i="1"/>
  <c r="E325" i="1"/>
  <c r="E452" i="1"/>
  <c r="E538" i="1"/>
  <c r="E571" i="1"/>
  <c r="E286" i="1"/>
  <c r="E111" i="1"/>
  <c r="E373" i="1"/>
  <c r="E493" i="1"/>
  <c r="E205" i="1"/>
  <c r="E282" i="1"/>
  <c r="E365" i="1"/>
  <c r="E262" i="1"/>
  <c r="E353" i="1"/>
  <c r="E201" i="1"/>
  <c r="E140" i="1"/>
  <c r="E197" i="1"/>
  <c r="E102" i="1"/>
  <c r="E127" i="1"/>
  <c r="E232" i="1"/>
  <c r="E284" i="1"/>
  <c r="E263" i="1"/>
  <c r="E94" i="1"/>
  <c r="E258" i="1"/>
  <c r="E228" i="1"/>
  <c r="E190" i="1"/>
  <c r="E129" i="1"/>
  <c r="E126" i="1"/>
  <c r="E138" i="1"/>
  <c r="E535" i="1"/>
  <c r="E95" i="1"/>
  <c r="E512" i="1"/>
  <c r="E175" i="1"/>
  <c r="E476" i="1"/>
  <c r="E296" i="1"/>
  <c r="E418" i="1"/>
  <c r="E504" i="1"/>
  <c r="E256" i="1"/>
  <c r="E89" i="1"/>
  <c r="E161" i="1"/>
  <c r="E421" i="1"/>
  <c r="E193" i="1"/>
  <c r="E270" i="1"/>
  <c r="E329" i="1"/>
  <c r="E250" i="1"/>
  <c r="E341" i="1"/>
  <c r="E189" i="1"/>
  <c r="E128" i="1"/>
  <c r="H2" i="1"/>
  <c r="E29" i="1" s="1"/>
  <c r="E76" i="1"/>
  <c r="E524" i="1"/>
  <c r="E260" i="1"/>
  <c r="E279" i="1"/>
  <c r="E328" i="1"/>
  <c r="E585" i="1"/>
  <c r="E294" i="1"/>
  <c r="E295" i="1"/>
  <c r="E529" i="1"/>
  <c r="E91" i="1"/>
  <c r="E162" i="1"/>
  <c r="E391" i="1"/>
  <c r="E479" i="1"/>
  <c r="E336" i="1"/>
  <c r="E61" i="1"/>
  <c r="E505" i="1"/>
  <c r="E187" i="1"/>
  <c r="E348" i="1"/>
  <c r="E385" i="1"/>
  <c r="E194" i="1"/>
  <c r="E528" i="1"/>
  <c r="E368" i="1"/>
  <c r="E314" i="1"/>
  <c r="E291" i="1"/>
  <c r="E572" i="1"/>
  <c r="E52" i="1"/>
  <c r="E340" i="1"/>
  <c r="E53" i="1"/>
  <c r="E74" i="1"/>
  <c r="E330" i="1"/>
  <c r="E43" i="1"/>
  <c r="E134" i="1"/>
  <c r="E113" i="1"/>
  <c r="E501" i="1"/>
  <c r="E407" i="1"/>
  <c r="E515" i="1"/>
  <c r="E394" i="1"/>
  <c r="E199" i="1"/>
  <c r="E101" i="1"/>
  <c r="E222" i="1"/>
  <c r="E475" i="1"/>
  <c r="E139" i="1"/>
  <c r="E46" i="1"/>
  <c r="E527" i="1"/>
  <c r="E269" i="1"/>
  <c r="E326" i="1"/>
  <c r="E303" i="1"/>
  <c r="E584" i="1"/>
  <c r="E64" i="1"/>
  <c r="E352" i="1"/>
  <c r="E65" i="1"/>
  <c r="E86" i="1"/>
  <c r="E390" i="1"/>
  <c r="E55" i="1"/>
  <c r="E158" i="1"/>
  <c r="E567" i="1"/>
  <c r="E137" i="1"/>
  <c r="E553" i="1"/>
  <c r="E426" i="1"/>
  <c r="E35" i="1"/>
  <c r="E481" i="1"/>
  <c r="E382" i="1"/>
  <c r="E93" i="1"/>
  <c r="E174" i="1"/>
  <c r="E268" i="1"/>
  <c r="E539" i="1"/>
  <c r="E323" i="1"/>
  <c r="E466" i="1"/>
  <c r="E298" i="1"/>
  <c r="E315" i="1"/>
  <c r="E155" i="1"/>
  <c r="E364" i="1"/>
  <c r="E98" i="1"/>
  <c r="E402" i="1"/>
  <c r="E75" i="1"/>
  <c r="E333" i="1"/>
  <c r="E374" i="1"/>
  <c r="E335" i="1"/>
  <c r="E356" i="1"/>
  <c r="E477" i="1"/>
  <c r="E32" i="1"/>
  <c r="E133" i="1"/>
  <c r="E497" i="1"/>
  <c r="E203" i="1"/>
  <c r="E483" i="1"/>
  <c r="E238" i="1"/>
  <c r="E40" i="1"/>
  <c r="E251" i="1"/>
  <c r="E458" i="1"/>
  <c r="E177" i="1"/>
  <c r="E302" i="1"/>
  <c r="E62" i="1"/>
  <c r="E469" i="1"/>
  <c r="E560" i="1"/>
  <c r="E398" i="1"/>
  <c r="E71" i="1"/>
  <c r="E69" i="1"/>
  <c r="E430" i="1"/>
  <c r="E289" i="1"/>
  <c r="E360" i="1"/>
  <c r="E383" i="1"/>
  <c r="E124" i="1"/>
  <c r="E537" i="1"/>
  <c r="E357" i="1"/>
  <c r="E34" i="1"/>
  <c r="E285" i="1"/>
  <c r="E312" i="1"/>
  <c r="E311" i="1"/>
  <c r="E310" i="1"/>
  <c r="E457" i="1"/>
  <c r="E99" i="1"/>
  <c r="E485" i="1"/>
  <c r="E264" i="1"/>
  <c r="E42" i="1"/>
  <c r="E167" i="1"/>
  <c r="E471" i="1"/>
  <c r="E226" i="1"/>
  <c r="E239" i="1"/>
  <c r="E422" i="1"/>
  <c r="E165" i="1"/>
  <c r="E290" i="1"/>
  <c r="E559" i="1"/>
  <c r="E77" i="1"/>
  <c r="E467" i="1"/>
  <c r="E486" i="1"/>
  <c r="E580" i="1"/>
  <c r="E397" i="1"/>
  <c r="E221" i="1"/>
  <c r="E276" i="1"/>
  <c r="E81" i="1"/>
  <c r="E80" i="1"/>
  <c r="E517" i="1"/>
  <c r="E287" i="1"/>
  <c r="E588" i="1"/>
  <c r="E183" i="1"/>
  <c r="E185" i="1"/>
  <c r="E208" i="1"/>
  <c r="E441" i="1"/>
  <c r="E307" i="1"/>
  <c r="E87" i="1"/>
  <c r="E473" i="1"/>
  <c r="E252" i="1"/>
  <c r="E73" i="1"/>
  <c r="E435" i="1"/>
  <c r="E214" i="1"/>
  <c r="E574" i="1"/>
  <c r="E215" i="1"/>
  <c r="E410" i="1"/>
  <c r="E153" i="1"/>
  <c r="E278" i="1"/>
  <c r="E195" i="1"/>
  <c r="E243" i="1"/>
  <c r="E223" i="1"/>
  <c r="E248" i="1"/>
  <c r="E50" i="1"/>
  <c r="E577" i="1"/>
  <c r="E525" i="1"/>
  <c r="E337" i="1"/>
  <c r="E324" i="1"/>
  <c r="E582" i="1"/>
  <c r="E247" i="1"/>
  <c r="E45" i="1"/>
  <c r="E147" i="1"/>
  <c r="E487" i="1"/>
  <c r="E320" i="1"/>
  <c r="E273" i="1"/>
  <c r="E79" i="1"/>
  <c r="E210" i="1"/>
  <c r="E569" i="1"/>
  <c r="E231" i="1"/>
  <c r="E465" i="1"/>
  <c r="E516" i="1"/>
  <c r="E90" i="1"/>
  <c r="E370" i="1"/>
  <c r="E331" i="1"/>
  <c r="E157" i="1"/>
  <c r="E378" i="1"/>
  <c r="E156" i="1"/>
  <c r="E586" i="1"/>
  <c r="E131" i="1"/>
  <c r="E507" i="1"/>
  <c r="E316" i="1"/>
  <c r="E96" i="1"/>
  <c r="E472" i="1"/>
  <c r="E143" i="1"/>
  <c r="E446" i="1"/>
  <c r="E51" i="1"/>
  <c r="E236" i="1"/>
  <c r="E38" i="1"/>
  <c r="E150" i="1"/>
  <c r="E561" i="1"/>
  <c r="E267" i="1"/>
  <c r="E541" i="1"/>
  <c r="E172" i="1"/>
  <c r="E564" i="1"/>
  <c r="E103" i="1"/>
  <c r="E361" i="1"/>
  <c r="E274" i="1"/>
  <c r="E245" i="1"/>
  <c r="E49" i="1"/>
  <c r="E186" i="1"/>
  <c r="E551" i="1"/>
  <c r="E550" i="1"/>
  <c r="E207" i="1"/>
  <c r="E429" i="1"/>
  <c r="E480" i="1"/>
  <c r="E589" i="1"/>
  <c r="E308" i="1"/>
  <c r="E319" i="1"/>
  <c r="E145" i="1"/>
  <c r="E557" i="1"/>
  <c r="E366" i="1"/>
  <c r="E144" i="1"/>
  <c r="E562" i="1"/>
  <c r="E85" i="1"/>
  <c r="E495" i="1"/>
  <c r="E304" i="1"/>
  <c r="E84" i="1"/>
  <c r="E448" i="1"/>
  <c r="E119" i="1"/>
  <c r="E434" i="1"/>
  <c r="E237" i="1"/>
  <c r="E39" i="1"/>
  <c r="E200" i="1"/>
  <c r="E379" i="1"/>
  <c r="E456" i="1"/>
  <c r="E78" i="1"/>
  <c r="E235" i="1"/>
  <c r="E492" i="1"/>
  <c r="E105" i="1"/>
  <c r="E242" i="1"/>
  <c r="E344" i="1"/>
  <c r="E432" i="1"/>
  <c r="E502" i="1"/>
  <c r="E565" i="1"/>
  <c r="E211" i="1"/>
  <c r="E347" i="1"/>
  <c r="E272" i="1"/>
  <c r="E445" i="1"/>
  <c r="E500" i="1"/>
  <c r="E443" i="1"/>
  <c r="E514" i="1"/>
  <c r="E499" i="1"/>
  <c r="E58" i="1"/>
  <c r="E406" i="1"/>
  <c r="E110" i="1"/>
  <c r="E229" i="1"/>
  <c r="E521" i="1"/>
  <c r="E354" i="1"/>
  <c r="E204" i="1"/>
  <c r="E305" i="1"/>
  <c r="E41" i="1"/>
  <c r="E459" i="1"/>
  <c r="E292" i="1"/>
  <c r="E118" i="1"/>
  <c r="E556" i="1"/>
  <c r="E281" i="1"/>
  <c r="E399" i="1"/>
  <c r="E225" i="1"/>
  <c r="E116" i="1"/>
  <c r="E403" i="1"/>
  <c r="E196" i="1"/>
  <c r="E526" i="1"/>
  <c r="E414" i="1"/>
  <c r="E522" i="1"/>
  <c r="E266" i="1"/>
  <c r="E540" i="1"/>
  <c r="E246" i="1"/>
  <c r="E367" i="1"/>
  <c r="E396" i="1"/>
  <c r="E384" i="1"/>
  <c r="E171" i="1"/>
  <c r="E313" i="1"/>
  <c r="E244" i="1"/>
  <c r="E464" i="1"/>
  <c r="E372" i="1"/>
  <c r="E498" i="1"/>
  <c r="E255" i="1"/>
  <c r="E591" i="1"/>
  <c r="E60" i="1"/>
  <c r="E233" i="1"/>
  <c r="E463" i="1"/>
  <c r="E386" i="1"/>
  <c r="E56" i="1"/>
  <c r="E217" i="1"/>
  <c r="E67" i="1"/>
  <c r="E509" i="1"/>
  <c r="E342" i="1"/>
  <c r="E168" i="1"/>
  <c r="E447" i="1"/>
  <c r="E106" i="1"/>
  <c r="E532" i="1"/>
  <c r="E554" i="1"/>
  <c r="E363" i="1"/>
  <c r="E213" i="1"/>
  <c r="E63" i="1"/>
  <c r="E433" i="1"/>
  <c r="E299" i="1"/>
  <c r="E491" i="1"/>
  <c r="E115" i="1"/>
  <c r="E345" i="1"/>
  <c r="E47" i="1"/>
  <c r="E566" i="1"/>
  <c r="E431" i="1"/>
  <c r="E405" i="1"/>
  <c r="E369" i="1"/>
  <c r="E380" i="1"/>
  <c r="E558" i="1"/>
  <c r="E212" i="1"/>
  <c r="E338" i="1"/>
  <c r="E249" i="1"/>
  <c r="E375" i="1"/>
  <c r="E518" i="1"/>
  <c r="E179" i="1"/>
  <c r="E389" i="1"/>
  <c r="E142" i="1"/>
  <c r="E411" i="1"/>
  <c r="E555" i="1"/>
  <c r="E97" i="1"/>
  <c r="E436" i="1"/>
  <c r="E54" i="1"/>
  <c r="E180" i="1"/>
  <c r="E306" i="1"/>
  <c r="E449" i="1"/>
  <c r="E575" i="1"/>
  <c r="E109" i="1"/>
  <c r="E253" i="1"/>
  <c r="E332" i="1"/>
  <c r="E549" i="1"/>
  <c r="E444" i="1"/>
  <c r="E234" i="1"/>
  <c r="E57" i="1"/>
  <c r="E309" i="1"/>
  <c r="E534" i="1"/>
  <c r="E408" i="1"/>
  <c r="E428" i="1"/>
  <c r="E358" i="1"/>
  <c r="E123" i="1"/>
  <c r="E170" i="1"/>
  <c r="E219" i="1"/>
  <c r="E419" i="1"/>
  <c r="E44" i="1"/>
  <c r="E455" i="1"/>
  <c r="E416" i="1"/>
  <c r="E581" i="1"/>
  <c r="E220" i="1"/>
  <c r="E420" i="1"/>
  <c r="E503" i="1"/>
  <c r="E343" i="1"/>
  <c r="E300" i="1"/>
  <c r="E151" i="1"/>
  <c r="E468" i="1"/>
  <c r="E82" i="1"/>
  <c r="E224" i="1"/>
  <c r="E350" i="1"/>
  <c r="E117" i="1"/>
  <c r="E261" i="1"/>
  <c r="E387" i="1"/>
  <c r="E530" i="1"/>
  <c r="E191" i="1"/>
  <c r="E412" i="1"/>
  <c r="E154" i="1"/>
  <c r="E280" i="1"/>
  <c r="E423" i="1"/>
  <c r="E107" i="1"/>
  <c r="E460" i="1"/>
  <c r="E66" i="1"/>
  <c r="E192" i="1"/>
  <c r="E318" i="1"/>
  <c r="E461" i="1"/>
  <c r="E587" i="1"/>
  <c r="E121" i="1"/>
  <c r="E265" i="1"/>
  <c r="E88" i="1"/>
  <c r="E34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<sst xmlns="http://schemas.openxmlformats.org/spreadsheetml/2006/main" count="700" uniqueCount="626">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</sst>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22" totalsRowShown="0" headerRowDxfId="5">
  <autoFilter ref="A1:E622" xr:uid="{1329FF03-B366-468C-915B-7B9006981626}"/>
  <sortState xmlns:xlrd2="http://schemas.microsoft.com/office/spreadsheetml/2017/richdata2" ref="A2:C591">
    <sortCondition ref="C1:C591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22"/>
  <sheetViews>
    <sheetView tabSelected="1" workbookViewId="0">
      <selection activeCell="K1" sqref="K1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584</v>
      </c>
      <c r="E1" s="1" t="s">
        <v>531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34">_xlfn.UNIQUE(Tabla1[PAIS])</f>
        <v>argentina</v>
      </c>
      <c r="I2" s="9" t="str">
        <f ca="1">IF(J2&gt;TODAY(),"","X")</f>
        <v>X</v>
      </c>
      <c r="J2" s="10">
        <v>46227</v>
      </c>
      <c r="K2" s="9" t="s">
        <v>532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ca="1">IF(J3&gt;TODAY(),"","X")</f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ref="I4:I34" ca="1" si="0">IF(J4&gt;TODAY(),"","X")</f>
        <v>X</v>
      </c>
      <c r="J4" s="10">
        <v>46237</v>
      </c>
      <c r="K4" s="9" t="s">
        <v>532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532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532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532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532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532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532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532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532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546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532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532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547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532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/>
      </c>
      <c r="J16" s="10">
        <v>46258</v>
      </c>
      <c r="K16" s="9"/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/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/>
      </c>
      <c r="J18" s="10">
        <v>46257</v>
      </c>
      <c r="K18" s="9"/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/>
      </c>
      <c r="J19" s="10">
        <v>46259</v>
      </c>
      <c r="K19" s="9"/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532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532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532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532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532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532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532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532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532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532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532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46230</v>
      </c>
      <c r="K31" s="9" t="s">
        <v>532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509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532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510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532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511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532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512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/>
      <c r="I35" s="9"/>
      <c r="J35" s="10"/>
      <c r="K35" s="9"/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513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514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515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516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517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518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519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520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587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610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611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612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536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102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103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104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105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537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106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538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107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108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109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110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111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112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113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539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114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115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116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117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118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119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120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121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122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123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588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124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125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126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127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128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129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130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168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169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170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171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540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172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173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174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175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176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177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178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179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180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181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541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533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534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535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159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160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161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162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163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164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165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589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166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167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590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182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591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183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184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185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186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187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188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189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190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191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192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193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194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195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196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197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198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592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593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199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200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201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202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203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204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205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493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494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495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496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497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544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498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499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545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500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501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502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503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504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505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506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chelsea-fc</v>
      </c>
      <c r="B201" s="5" t="s">
        <v>26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coventry-city-fc</v>
      </c>
      <c r="B202" s="2" t="s">
        <v>210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hull-city-fc</v>
      </c>
      <c r="B206" s="2" t="s">
        <v>212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ipswich-town-fc</v>
      </c>
      <c r="B207" s="5" t="s">
        <v>213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206</v>
      </c>
      <c r="C216" t="str">
        <f>_xlfn.TEXTBEFORE(_xlfn.TEXTAFTER(Tabla1[[#This Row],[ENLACE]],"/",1),"/")</f>
        <v>england</v>
      </c>
      <c r="D216" t="s">
        <v>585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207</v>
      </c>
      <c r="C217" t="str">
        <f>_xlfn.TEXTBEFORE(_xlfn.TEXTAFTER(Tabla1[[#This Row],[ENLACE]],"/",1),"/")</f>
        <v>england</v>
      </c>
      <c r="D217" t="s">
        <v>585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bolton-wanderers-fc</v>
      </c>
      <c r="B218" s="2" t="s">
        <v>613</v>
      </c>
      <c r="C218" t="str">
        <f>_xlfn.TEXTBEFORE(_xlfn.TEXTAFTER(Tabla1[[#This Row],[ENLACE]],"/",1),"/")</f>
        <v>england</v>
      </c>
      <c r="D218" t="s">
        <v>585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bristol-city-fc</v>
      </c>
      <c r="B219" s="5" t="s">
        <v>208</v>
      </c>
      <c r="C219" t="str">
        <f>_xlfn.TEXTBEFORE(_xlfn.TEXTAFTER(Tabla1[[#This Row],[ENLACE]],"/",1),"/")</f>
        <v>england</v>
      </c>
      <c r="D219" t="s">
        <v>585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burnley-fc</v>
      </c>
      <c r="B220" s="2" t="s">
        <v>25</v>
      </c>
      <c r="C220" t="str">
        <f>_xlfn.TEXTBEFORE(_xlfn.TEXTAFTER(Tabla1[[#This Row],[ENLACE]],"/",1),"/")</f>
        <v>england</v>
      </c>
      <c r="D220" t="s">
        <v>585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cardiff-city-fc</v>
      </c>
      <c r="B221" s="5" t="s">
        <v>614</v>
      </c>
      <c r="C221" t="str">
        <f>_xlfn.TEXTBEFORE(_xlfn.TEXTAFTER(Tabla1[[#This Row],[ENLACE]],"/",1),"/")</f>
        <v>england</v>
      </c>
      <c r="D221" t="s">
        <v>585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charlton-athletic-fc</v>
      </c>
      <c r="B222" s="2" t="s">
        <v>209</v>
      </c>
      <c r="C222" t="str">
        <f>_xlfn.TEXTBEFORE(_xlfn.TEXTAFTER(Tabla1[[#This Row],[ENLACE]],"/",1),"/")</f>
        <v>england</v>
      </c>
      <c r="D222" t="s">
        <v>585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211</v>
      </c>
      <c r="C223" t="str">
        <f>_xlfn.TEXTBEFORE(_xlfn.TEXTAFTER(Tabla1[[#This Row],[ENLACE]],"/",1),"/")</f>
        <v>england</v>
      </c>
      <c r="D223" t="s">
        <v>585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lincoln-city-fc</v>
      </c>
      <c r="B224" s="2" t="s">
        <v>615</v>
      </c>
      <c r="C224" t="str">
        <f>_xlfn.TEXTBEFORE(_xlfn.TEXTAFTER(Tabla1[[#This Row],[ENLACE]],"/",1),"/")</f>
        <v>england</v>
      </c>
      <c r="D224" t="s">
        <v>585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214</v>
      </c>
      <c r="C225" t="str">
        <f>_xlfn.TEXTBEFORE(_xlfn.TEXTAFTER(Tabla1[[#This Row],[ENLACE]],"/",1),"/")</f>
        <v>england</v>
      </c>
      <c r="D225" t="s">
        <v>585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215</v>
      </c>
      <c r="C226" t="str">
        <f>_xlfn.TEXTBEFORE(_xlfn.TEXTAFTER(Tabla1[[#This Row],[ENLACE]],"/",1),"/")</f>
        <v>england</v>
      </c>
      <c r="D226" t="s">
        <v>585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216</v>
      </c>
      <c r="C227" t="str">
        <f>_xlfn.TEXTBEFORE(_xlfn.TEXTAFTER(Tabla1[[#This Row],[ENLACE]],"/",1),"/")</f>
        <v>england</v>
      </c>
      <c r="D227" t="s">
        <v>585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portsmouth-fc</v>
      </c>
      <c r="B228" s="2" t="s">
        <v>217</v>
      </c>
      <c r="C228" t="str">
        <f>_xlfn.TEXTBEFORE(_xlfn.TEXTAFTER(Tabla1[[#This Row],[ENLACE]],"/",1),"/")</f>
        <v>england</v>
      </c>
      <c r="D228" t="s">
        <v>585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preston-north-end-fc</v>
      </c>
      <c r="B229" s="5" t="s">
        <v>218</v>
      </c>
      <c r="C229" t="str">
        <f>_xlfn.TEXTBEFORE(_xlfn.TEXTAFTER(Tabla1[[#This Row],[ENLACE]],"/",1),"/")</f>
        <v>england</v>
      </c>
      <c r="D229" t="s">
        <v>585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queens-park-rangers-fc</v>
      </c>
      <c r="B230" s="2" t="s">
        <v>219</v>
      </c>
      <c r="C230" t="str">
        <f>_xlfn.TEXTBEFORE(_xlfn.TEXTAFTER(Tabla1[[#This Row],[ENLACE]],"/",1),"/")</f>
        <v>england</v>
      </c>
      <c r="D230" t="s">
        <v>585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sheffield-united-fc</v>
      </c>
      <c r="B231" s="5" t="s">
        <v>220</v>
      </c>
      <c r="C231" t="str">
        <f>_xlfn.TEXTBEFORE(_xlfn.TEXTAFTER(Tabla1[[#This Row],[ENLACE]],"/",1),"/")</f>
        <v>england</v>
      </c>
      <c r="D231" t="s">
        <v>585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southampton-fc</v>
      </c>
      <c r="B232" s="2" t="s">
        <v>221</v>
      </c>
      <c r="C232" t="str">
        <f>_xlfn.TEXTBEFORE(_xlfn.TEXTAFTER(Tabla1[[#This Row],[ENLACE]],"/",1),"/")</f>
        <v>england</v>
      </c>
      <c r="D232" t="s">
        <v>585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stoke-city-fc</v>
      </c>
      <c r="B233" s="5" t="s">
        <v>222</v>
      </c>
      <c r="C233" t="str">
        <f>_xlfn.TEXTBEFORE(_xlfn.TEXTAFTER(Tabla1[[#This Row],[ENLACE]],"/",1),"/")</f>
        <v>england</v>
      </c>
      <c r="D233" t="s">
        <v>585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swansea-city-afc</v>
      </c>
      <c r="B234" s="2" t="s">
        <v>223</v>
      </c>
      <c r="C234" t="str">
        <f>_xlfn.TEXTBEFORE(_xlfn.TEXTAFTER(Tabla1[[#This Row],[ENLACE]],"/",1),"/")</f>
        <v>england</v>
      </c>
      <c r="D234" t="s">
        <v>585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watford-fc</v>
      </c>
      <c r="B235" s="5" t="s">
        <v>224</v>
      </c>
      <c r="C235" t="str">
        <f>_xlfn.TEXTBEFORE(_xlfn.TEXTAFTER(Tabla1[[#This Row],[ENLACE]],"/",1),"/")</f>
        <v>england</v>
      </c>
      <c r="D235" t="s">
        <v>585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west-bromwich-albion-fc</v>
      </c>
      <c r="B236" s="2" t="s">
        <v>225</v>
      </c>
      <c r="C236" t="str">
        <f>_xlfn.TEXTBEFORE(_xlfn.TEXTAFTER(Tabla1[[#This Row],[ENLACE]],"/",1),"/")</f>
        <v>england</v>
      </c>
      <c r="D236" t="s">
        <v>585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west-ham-united-fc</v>
      </c>
      <c r="B237" s="5" t="s">
        <v>38</v>
      </c>
      <c r="C237" t="str">
        <f>_xlfn.TEXTBEFORE(_xlfn.TEXTAFTER(Tabla1[[#This Row],[ENLACE]],"/",1),"/")</f>
        <v>england</v>
      </c>
      <c r="D237" t="s">
        <v>585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wolverhampton-wanderers-fc</v>
      </c>
      <c r="B238" s="2" t="s">
        <v>39</v>
      </c>
      <c r="C238" t="str">
        <f>_xlfn.TEXTBEFORE(_xlfn.TEXTAFTER(Tabla1[[#This Row],[ENLACE]],"/",1),"/")</f>
        <v>england</v>
      </c>
      <c r="D238" t="s">
        <v>585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226</v>
      </c>
      <c r="C239" t="str">
        <f>_xlfn.TEXTBEFORE(_xlfn.TEXTAFTER(Tabla1[[#This Row],[ENLACE]],"/",1),"/")</f>
        <v>england</v>
      </c>
      <c r="D239" t="s">
        <v>585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521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522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523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524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525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526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582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527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528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529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583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530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227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NO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228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NO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229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NO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230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NO</v>
      </c>
    </row>
    <row r="256" spans="1:5" x14ac:dyDescent="0.3">
      <c r="A256" t="str">
        <f>MID(Tabla1[[#This Row],[ENLACE]],FIND("~",SUBSTITUTE(Tabla1[[#This Row],[ENLACE]],"/","~",2))+1,LEN(Tabla1[[#This Row],[ENLACE]]))</f>
        <v>rc-lens</v>
      </c>
      <c r="B256" s="2" t="s">
        <v>231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NO</v>
      </c>
    </row>
    <row r="257" spans="1:5" x14ac:dyDescent="0.3">
      <c r="A257" t="str">
        <f>MID(Tabla1[[#This Row],[ENLACE]],FIND("~",SUBSTITUTE(Tabla1[[#This Row],[ENLACE]],"/","~",2))+1,LEN(Tabla1[[#This Row],[ENLACE]]))</f>
        <v>lille-osc</v>
      </c>
      <c r="B257" s="5" t="s">
        <v>232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NO</v>
      </c>
    </row>
    <row r="258" spans="1:5" x14ac:dyDescent="0.3">
      <c r="A258" t="str">
        <f>MID(Tabla1[[#This Row],[ENLACE]],FIND("~",SUBSTITUTE(Tabla1[[#This Row],[ENLACE]],"/","~",2))+1,LEN(Tabla1[[#This Row],[ENLACE]]))</f>
        <v>fc-lorient</v>
      </c>
      <c r="B258" s="2" t="s">
        <v>473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NO</v>
      </c>
    </row>
    <row r="259" spans="1:5" x14ac:dyDescent="0.3">
      <c r="A259" t="str">
        <f>MID(Tabla1[[#This Row],[ENLACE]],FIND("~",SUBSTITUTE(Tabla1[[#This Row],[ENLACE]],"/","~",2))+1,LEN(Tabla1[[#This Row],[ENLACE]]))</f>
        <v>olympique-lyonnais</v>
      </c>
      <c r="B259" s="5" t="s">
        <v>233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NO</v>
      </c>
    </row>
    <row r="260" spans="1:5" x14ac:dyDescent="0.3">
      <c r="A260" t="str">
        <f>MID(Tabla1[[#This Row],[ENLACE]],FIND("~",SUBSTITUTE(Tabla1[[#This Row],[ENLACE]],"/","~",2))+1,LEN(Tabla1[[#This Row],[ENLACE]]))</f>
        <v>olympique-de-marseille</v>
      </c>
      <c r="B260" s="2" t="s">
        <v>234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NO</v>
      </c>
    </row>
    <row r="261" spans="1:5" x14ac:dyDescent="0.3">
      <c r="A261" t="str">
        <f>MID(Tabla1[[#This Row],[ENLACE]],FIND("~",SUBSTITUTE(Tabla1[[#This Row],[ENLACE]],"/","~",2))+1,LEN(Tabla1[[#This Row],[ENLACE]]))</f>
        <v>fc-metz</v>
      </c>
      <c r="B261" s="5" t="s">
        <v>474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NO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235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NO</v>
      </c>
    </row>
    <row r="263" spans="1:5" x14ac:dyDescent="0.3">
      <c r="A263" t="str">
        <f>MID(Tabla1[[#This Row],[ENLACE]],FIND("~",SUBSTITUTE(Tabla1[[#This Row],[ENLACE]],"/","~",2))+1,LEN(Tabla1[[#This Row],[ENLACE]]))</f>
        <v>fc-nantes</v>
      </c>
      <c r="B263" s="5" t="s">
        <v>236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NO</v>
      </c>
    </row>
    <row r="264" spans="1:5" x14ac:dyDescent="0.3">
      <c r="A264" t="str">
        <f>MID(Tabla1[[#This Row],[ENLACE]],FIND("~",SUBSTITUTE(Tabla1[[#This Row],[ENLACE]],"/","~",2))+1,LEN(Tabla1[[#This Row],[ENLACE]]))</f>
        <v>ogc-nice</v>
      </c>
      <c r="B264" s="2" t="s">
        <v>237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NO</v>
      </c>
    </row>
    <row r="265" spans="1:5" x14ac:dyDescent="0.3">
      <c r="A265" t="str">
        <f>MID(Tabla1[[#This Row],[ENLACE]],FIND("~",SUBSTITUTE(Tabla1[[#This Row],[ENLACE]],"/","~",2))+1,LEN(Tabla1[[#This Row],[ENLACE]]))</f>
        <v>paris-fc</v>
      </c>
      <c r="B265" s="5" t="s">
        <v>475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NO</v>
      </c>
    </row>
    <row r="266" spans="1:5" x14ac:dyDescent="0.3">
      <c r="A266" t="str">
        <f>MID(Tabla1[[#This Row],[ENLACE]],FIND("~",SUBSTITUTE(Tabla1[[#This Row],[ENLACE]],"/","~",2))+1,LEN(Tabla1[[#This Row],[ENLACE]]))</f>
        <v>paris-saint-germain-fc</v>
      </c>
      <c r="B266" s="2" t="s">
        <v>238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NO</v>
      </c>
    </row>
    <row r="267" spans="1:5" x14ac:dyDescent="0.3">
      <c r="A267" t="str">
        <f>MID(Tabla1[[#This Row],[ENLACE]],FIND("~",SUBSTITUTE(Tabla1[[#This Row],[ENLACE]],"/","~",2))+1,LEN(Tabla1[[#This Row],[ENLACE]]))</f>
        <v>stade-rennais-fc</v>
      </c>
      <c r="B267" s="5" t="s">
        <v>239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NO</v>
      </c>
    </row>
    <row r="268" spans="1:5" x14ac:dyDescent="0.3">
      <c r="A268" t="str">
        <f>MID(Tabla1[[#This Row],[ENLACE]],FIND("~",SUBSTITUTE(Tabla1[[#This Row],[ENLACE]],"/","~",2))+1,LEN(Tabla1[[#This Row],[ENLACE]]))</f>
        <v>rc-strasbourg-alsace</v>
      </c>
      <c r="B268" s="2" t="s">
        <v>240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NO</v>
      </c>
    </row>
    <row r="269" spans="1:5" x14ac:dyDescent="0.3">
      <c r="A269" t="str">
        <f>MID(Tabla1[[#This Row],[ENLACE]],FIND("~",SUBSTITUTE(Tabla1[[#This Row],[ENLACE]],"/","~",2))+1,LEN(Tabla1[[#This Row],[ENLACE]]))</f>
        <v>toulouse-fc</v>
      </c>
      <c r="B269" s="5" t="s">
        <v>241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NO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werder-bremen</v>
      </c>
      <c r="B272" s="2" t="s">
        <v>63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borussia-dortmund</v>
      </c>
      <c r="B273" s="5" t="s">
        <v>64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fc-koln</v>
      </c>
      <c r="B274" s="2" t="s">
        <v>468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eintracht-frankfurt</v>
      </c>
      <c r="B275" s="5" t="s">
        <v>65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sc-freiburg</v>
      </c>
      <c r="B276" s="2" t="s">
        <v>66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hamburger-sv</v>
      </c>
      <c r="B277" s="5" t="s">
        <v>469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fc-heidenheim</v>
      </c>
      <c r="B278" s="2" t="s">
        <v>67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hoffenheim</v>
      </c>
      <c r="B279" s="5" t="s">
        <v>68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rb-leipzig</v>
      </c>
      <c r="B283" s="5" t="s">
        <v>73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fc-st-pauli</v>
      </c>
      <c r="B284" s="2" t="s">
        <v>74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vfb-stuttgart</v>
      </c>
      <c r="B285" s="5" t="s">
        <v>75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union-berlin</v>
      </c>
      <c r="B286" s="2" t="s">
        <v>76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vfl-wolfsburg</v>
      </c>
      <c r="B287" s="5" t="s">
        <v>77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arminia-bielefeld</v>
      </c>
      <c r="B288" s="2" t="s">
        <v>242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vfl-bochum</v>
      </c>
      <c r="B289" s="5" t="s">
        <v>62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eintracht-braunschweig</v>
      </c>
      <c r="B290" s="2" t="s">
        <v>243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fc-energie-cottbus</v>
      </c>
      <c r="B291" s="5" t="s">
        <v>602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darmstadt-98</v>
      </c>
      <c r="B292" s="2" t="s">
        <v>244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dynamo-dresden</v>
      </c>
      <c r="B293" s="5" t="s">
        <v>245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greuther-furth</v>
      </c>
      <c r="B294" s="2" t="s">
        <v>246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hannover-96</v>
      </c>
      <c r="B295" s="5" t="s">
        <v>247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hertha-berlin</v>
      </c>
      <c r="B297" s="5" t="s">
        <v>248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fc-kaiserslautern</v>
      </c>
      <c r="B298" s="2" t="s">
        <v>249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karlsruher-sc</v>
      </c>
      <c r="B299" s="5" t="s">
        <v>250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holstein-kiel</v>
      </c>
      <c r="B300" s="2" t="s">
        <v>69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fc-magdeburg</v>
      </c>
      <c r="B301" s="5" t="s">
        <v>251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fc-nurnberg</v>
      </c>
      <c r="B302" s="2" t="s">
        <v>252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vfl-osnabruck</v>
      </c>
      <c r="B303" s="5" t="s">
        <v>603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aek-athens-fc</v>
      </c>
      <c r="B306" s="5" t="s">
        <v>479</v>
      </c>
      <c r="C306" t="str">
        <f>_xlfn.TEXTBEFORE(_xlfn.TEXTAFTER(Tabla1[[#This Row],[ENLACE]],"/",1),"/")</f>
        <v>greece</v>
      </c>
      <c r="D306" t="str">
        <f>Tabla1[[#This Row],[PAIS]]</f>
        <v>greece</v>
      </c>
      <c r="E306" s="8" t="str">
        <f ca="1">IF(VLOOKUP(Tabla1[[#This Row],[PAIS]],$H$2:$I$34,2)="x","SI","NO")</f>
        <v>NO</v>
      </c>
    </row>
    <row r="307" spans="1:5" x14ac:dyDescent="0.3">
      <c r="A307" t="str">
        <f>MID(Tabla1[[#This Row],[ENLACE]],FIND("~",SUBSTITUTE(Tabla1[[#This Row],[ENLACE]],"/","~",2))+1,LEN(Tabla1[[#This Row],[ENLACE]]))</f>
        <v>ael-fc</v>
      </c>
      <c r="B307" s="5" t="s">
        <v>480</v>
      </c>
      <c r="C307" t="str">
        <f>_xlfn.TEXTBEFORE(_xlfn.TEXTAFTER(Tabla1[[#This Row],[ENLACE]],"/",1),"/")</f>
        <v>greece</v>
      </c>
      <c r="D307" t="str">
        <f>Tabla1[[#This Row],[PAIS]]</f>
        <v>greece</v>
      </c>
      <c r="E307" s="8" t="str">
        <f ca="1">IF(VLOOKUP(Tabla1[[#This Row],[PAIS]],$H$2:$I$34,2)="x","SI","NO")</f>
        <v>NO</v>
      </c>
    </row>
    <row r="308" spans="1:5" x14ac:dyDescent="0.3">
      <c r="A308" t="str">
        <f>MID(Tabla1[[#This Row],[ENLACE]],FIND("~",SUBSTITUTE(Tabla1[[#This Row],[ENLACE]],"/","~",2))+1,LEN(Tabla1[[#This Row],[ENLACE]]))</f>
        <v>aris-thessaloniki-fc</v>
      </c>
      <c r="B308" s="5" t="s">
        <v>481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NO</v>
      </c>
    </row>
    <row r="309" spans="1:5" x14ac:dyDescent="0.3">
      <c r="A309" t="str">
        <f>MID(Tabla1[[#This Row],[ENLACE]],FIND("~",SUBSTITUTE(Tabla1[[#This Row],[ENLACE]],"/","~",2))+1,LEN(Tabla1[[#This Row],[ENLACE]]))</f>
        <v>asteras-tripolis-fc</v>
      </c>
      <c r="B309" s="5" t="s">
        <v>482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NO</v>
      </c>
    </row>
    <row r="310" spans="1:5" x14ac:dyDescent="0.3">
      <c r="A310" t="str">
        <f>MID(Tabla1[[#This Row],[ENLACE]],FIND("~",SUBSTITUTE(Tabla1[[#This Row],[ENLACE]],"/","~",2))+1,LEN(Tabla1[[#This Row],[ENLACE]]))</f>
        <v>atromitos-fc</v>
      </c>
      <c r="B310" s="5" t="s">
        <v>483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NO</v>
      </c>
    </row>
    <row r="311" spans="1:5" x14ac:dyDescent="0.3">
      <c r="A311" t="str">
        <f>MID(Tabla1[[#This Row],[ENLACE]],FIND("~",SUBSTITUTE(Tabla1[[#This Row],[ENLACE]],"/","~",2))+1,LEN(Tabla1[[#This Row],[ENLACE]]))</f>
        <v>ae-kifisia-fc</v>
      </c>
      <c r="B311" s="5" t="s">
        <v>484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NO</v>
      </c>
    </row>
    <row r="312" spans="1:5" x14ac:dyDescent="0.3">
      <c r="A312" t="str">
        <f>MID(Tabla1[[#This Row],[ENLACE]],FIND("~",SUBSTITUTE(Tabla1[[#This Row],[ENLACE]],"/","~",2))+1,LEN(Tabla1[[#This Row],[ENLACE]]))</f>
        <v>levadiakos-fc</v>
      </c>
      <c r="B312" s="5" t="s">
        <v>485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NO</v>
      </c>
    </row>
    <row r="313" spans="1:5" x14ac:dyDescent="0.3">
      <c r="A313" t="str">
        <f>MID(Tabla1[[#This Row],[ENLACE]],FIND("~",SUBSTITUTE(Tabla1[[#This Row],[ENLACE]],"/","~",2))+1,LEN(Tabla1[[#This Row],[ENLACE]]))</f>
        <v>ofi-crete-fc</v>
      </c>
      <c r="B313" s="5" t="s">
        <v>486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NO</v>
      </c>
    </row>
    <row r="314" spans="1:5" x14ac:dyDescent="0.3">
      <c r="A314" t="str">
        <f>MID(Tabla1[[#This Row],[ENLACE]],FIND("~",SUBSTITUTE(Tabla1[[#This Row],[ENLACE]],"/","~",2))+1,LEN(Tabla1[[#This Row],[ENLACE]]))</f>
        <v>olympiacos-fc</v>
      </c>
      <c r="B314" s="5" t="s">
        <v>487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NO</v>
      </c>
    </row>
    <row r="315" spans="1:5" x14ac:dyDescent="0.3">
      <c r="A315" t="str">
        <f>MID(Tabla1[[#This Row],[ENLACE]],FIND("~",SUBSTITUTE(Tabla1[[#This Row],[ENLACE]],"/","~",2))+1,LEN(Tabla1[[#This Row],[ENLACE]]))</f>
        <v>panathinaikos-fc</v>
      </c>
      <c r="B315" s="5" t="s">
        <v>488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NO</v>
      </c>
    </row>
    <row r="316" spans="1:5" x14ac:dyDescent="0.3">
      <c r="A316" t="str">
        <f>MID(Tabla1[[#This Row],[ENLACE]],FIND("~",SUBSTITUTE(Tabla1[[#This Row],[ENLACE]],"/","~",2))+1,LEN(Tabla1[[#This Row],[ENLACE]]))</f>
        <v>panetolikos-fc</v>
      </c>
      <c r="B316" s="5" t="s">
        <v>489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NO</v>
      </c>
    </row>
    <row r="317" spans="1:5" x14ac:dyDescent="0.3">
      <c r="A317" t="str">
        <f>MID(Tabla1[[#This Row],[ENLACE]],FIND("~",SUBSTITUTE(Tabla1[[#This Row],[ENLACE]],"/","~",2))+1,LEN(Tabla1[[#This Row],[ENLACE]]))</f>
        <v>panserraikos-fc</v>
      </c>
      <c r="B317" s="5" t="s">
        <v>490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NO</v>
      </c>
    </row>
    <row r="318" spans="1:5" x14ac:dyDescent="0.3">
      <c r="A318" t="str">
        <f>MID(Tabla1[[#This Row],[ENLACE]],FIND("~",SUBSTITUTE(Tabla1[[#This Row],[ENLACE]],"/","~",2))+1,LEN(Tabla1[[#This Row],[ENLACE]]))</f>
        <v>paok-fc</v>
      </c>
      <c r="B318" s="5" t="s">
        <v>491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NO</v>
      </c>
    </row>
    <row r="319" spans="1:5" x14ac:dyDescent="0.3">
      <c r="A319" t="str">
        <f>MID(Tabla1[[#This Row],[ENLACE]],FIND("~",SUBSTITUTE(Tabla1[[#This Row],[ENLACE]],"/","~",2))+1,LEN(Tabla1[[#This Row],[ENLACE]]))</f>
        <v>volos-fc</v>
      </c>
      <c r="B319" s="5" t="s">
        <v>492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NO</v>
      </c>
    </row>
    <row r="320" spans="1:5" x14ac:dyDescent="0.3">
      <c r="A320" t="str">
        <f>MID(Tabla1[[#This Row],[ENLACE]],FIND("~",SUBSTITUTE(Tabla1[[#This Row],[ENLACE]],"/","~",2))+1,LEN(Tabla1[[#This Row],[ENLACE]]))</f>
        <v>ac-milan</v>
      </c>
      <c r="B320" s="2" t="s">
        <v>253</v>
      </c>
      <c r="C320" t="str">
        <f>_xlfn.TEXTBEFORE(_xlfn.TEXTAFTER(Tabla1[[#This Row],[ENLACE]],"/",1),"/")</f>
        <v>italy</v>
      </c>
      <c r="D320" t="str">
        <f>Tabla1[[#This Row],[PAIS]]</f>
        <v>italy</v>
      </c>
      <c r="E320" s="8" t="str">
        <f ca="1">IF(VLOOKUP(Tabla1[[#This Row],[PAIS]],$H$2:$I$34,2)="x","SI","NO")</f>
        <v>NO</v>
      </c>
    </row>
    <row r="321" spans="1:5" x14ac:dyDescent="0.3">
      <c r="A321" t="str">
        <f>MID(Tabla1[[#This Row],[ENLACE]],FIND("~",SUBSTITUTE(Tabla1[[#This Row],[ENLACE]],"/","~",2))+1,LEN(Tabla1[[#This Row],[ENLACE]]))</f>
        <v>as-roma</v>
      </c>
      <c r="B321" s="5" t="s">
        <v>254</v>
      </c>
      <c r="C321" t="str">
        <f>_xlfn.TEXTBEFORE(_xlfn.TEXTAFTER(Tabla1[[#This Row],[ENLACE]],"/",1),"/")</f>
        <v>italy</v>
      </c>
      <c r="D321" t="str">
        <f>Tabla1[[#This Row],[PAIS]]</f>
        <v>italy</v>
      </c>
      <c r="E321" s="8" t="str">
        <f ca="1">IF(VLOOKUP(Tabla1[[#This Row],[PAIS]],$H$2:$I$34,2)="x","SI","NO")</f>
        <v>NO</v>
      </c>
    </row>
    <row r="322" spans="1:5" x14ac:dyDescent="0.3">
      <c r="A322" t="str">
        <f>MID(Tabla1[[#This Row],[ENLACE]],FIND("~",SUBSTITUTE(Tabla1[[#This Row],[ENLACE]],"/","~",2))+1,LEN(Tabla1[[#This Row],[ENLACE]]))</f>
        <v>atalanta-bc</v>
      </c>
      <c r="B322" s="2" t="s">
        <v>255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NO</v>
      </c>
    </row>
    <row r="323" spans="1:5" x14ac:dyDescent="0.3">
      <c r="A323" t="str">
        <f>MID(Tabla1[[#This Row],[ENLACE]],FIND("~",SUBSTITUTE(Tabla1[[#This Row],[ENLACE]],"/","~",2))+1,LEN(Tabla1[[#This Row],[ENLACE]]))</f>
        <v>bologna-fc-1909</v>
      </c>
      <c r="B323" s="5" t="s">
        <v>256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NO</v>
      </c>
    </row>
    <row r="324" spans="1:5" x14ac:dyDescent="0.3">
      <c r="A324" t="str">
        <f>MID(Tabla1[[#This Row],[ENLACE]],FIND("~",SUBSTITUTE(Tabla1[[#This Row],[ENLACE]],"/","~",2))+1,LEN(Tabla1[[#This Row],[ENLACE]]))</f>
        <v>cagliari-calcio</v>
      </c>
      <c r="B324" s="2" t="s">
        <v>257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NO</v>
      </c>
    </row>
    <row r="325" spans="1:5" x14ac:dyDescent="0.3">
      <c r="A325" t="str">
        <f>MID(Tabla1[[#This Row],[ENLACE]],FIND("~",SUBSTITUTE(Tabla1[[#This Row],[ENLACE]],"/","~",2))+1,LEN(Tabla1[[#This Row],[ENLACE]]))</f>
        <v>como-1907</v>
      </c>
      <c r="B325" s="5" t="s">
        <v>258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NO</v>
      </c>
    </row>
    <row r="326" spans="1:5" x14ac:dyDescent="0.3">
      <c r="A326" t="str">
        <f>MID(Tabla1[[#This Row],[ENLACE]],FIND("~",SUBSTITUTE(Tabla1[[#This Row],[ENLACE]],"/","~",2))+1,LEN(Tabla1[[#This Row],[ENLACE]]))</f>
        <v>us-cremonese</v>
      </c>
      <c r="B326" s="2" t="s">
        <v>470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NO</v>
      </c>
    </row>
    <row r="327" spans="1:5" x14ac:dyDescent="0.3">
      <c r="A327" t="str">
        <f>MID(Tabla1[[#This Row],[ENLACE]],FIND("~",SUBSTITUTE(Tabla1[[#This Row],[ENLACE]],"/","~",2))+1,LEN(Tabla1[[#This Row],[ENLACE]]))</f>
        <v>acf-fiorentina</v>
      </c>
      <c r="B327" s="5" t="s">
        <v>259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NO</v>
      </c>
    </row>
    <row r="328" spans="1:5" x14ac:dyDescent="0.3">
      <c r="A328" t="str">
        <f>MID(Tabla1[[#This Row],[ENLACE]],FIND("~",SUBSTITUTE(Tabla1[[#This Row],[ENLACE]],"/","~",2))+1,LEN(Tabla1[[#This Row],[ENLACE]]))</f>
        <v>genoa-cfc</v>
      </c>
      <c r="B328" s="2" t="s">
        <v>260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NO</v>
      </c>
    </row>
    <row r="329" spans="1:5" x14ac:dyDescent="0.3">
      <c r="A329" t="str">
        <f>MID(Tabla1[[#This Row],[ENLACE]],FIND("~",SUBSTITUTE(Tabla1[[#This Row],[ENLACE]],"/","~",2))+1,LEN(Tabla1[[#This Row],[ENLACE]]))</f>
        <v>inter-milan</v>
      </c>
      <c r="B329" s="5" t="s">
        <v>261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NO</v>
      </c>
    </row>
    <row r="330" spans="1:5" x14ac:dyDescent="0.3">
      <c r="A330" t="str">
        <f>MID(Tabla1[[#This Row],[ENLACE]],FIND("~",SUBSTITUTE(Tabla1[[#This Row],[ENLACE]],"/","~",2))+1,LEN(Tabla1[[#This Row],[ENLACE]]))</f>
        <v>juventus-fc</v>
      </c>
      <c r="B330" s="2" t="s">
        <v>262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NO</v>
      </c>
    </row>
    <row r="331" spans="1:5" x14ac:dyDescent="0.3">
      <c r="A331" t="str">
        <f>MID(Tabla1[[#This Row],[ENLACE]],FIND("~",SUBSTITUTE(Tabla1[[#This Row],[ENLACE]],"/","~",2))+1,LEN(Tabla1[[#This Row],[ENLACE]]))</f>
        <v>ss-lazio</v>
      </c>
      <c r="B331" s="5" t="s">
        <v>263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NO</v>
      </c>
    </row>
    <row r="332" spans="1:5" x14ac:dyDescent="0.3">
      <c r="A332" t="str">
        <f>MID(Tabla1[[#This Row],[ENLACE]],FIND("~",SUBSTITUTE(Tabla1[[#This Row],[ENLACE]],"/","~",2))+1,LEN(Tabla1[[#This Row],[ENLACE]]))</f>
        <v>us-lecce</v>
      </c>
      <c r="B332" s="2" t="s">
        <v>264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NO</v>
      </c>
    </row>
    <row r="333" spans="1:5" x14ac:dyDescent="0.3">
      <c r="A333" t="str">
        <f>MID(Tabla1[[#This Row],[ENLACE]],FIND("~",SUBSTITUTE(Tabla1[[#This Row],[ENLACE]],"/","~",2))+1,LEN(Tabla1[[#This Row],[ENLACE]]))</f>
        <v>ssc-napoli</v>
      </c>
      <c r="B333" s="5" t="s">
        <v>265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NO</v>
      </c>
    </row>
    <row r="334" spans="1:5" x14ac:dyDescent="0.3">
      <c r="A334" t="str">
        <f>MID(Tabla1[[#This Row],[ENLACE]],FIND("~",SUBSTITUTE(Tabla1[[#This Row],[ENLACE]],"/","~",2))+1,LEN(Tabla1[[#This Row],[ENLACE]]))</f>
        <v>parma-calcio-1913</v>
      </c>
      <c r="B334" s="2" t="s">
        <v>266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NO</v>
      </c>
    </row>
    <row r="335" spans="1:5" x14ac:dyDescent="0.3">
      <c r="A335" t="str">
        <f>MID(Tabla1[[#This Row],[ENLACE]],FIND("~",SUBSTITUTE(Tabla1[[#This Row],[ENLACE]],"/","~",2))+1,LEN(Tabla1[[#This Row],[ENLACE]]))</f>
        <v>ac-pisa-1909</v>
      </c>
      <c r="B335" s="5" t="s">
        <v>471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NO</v>
      </c>
    </row>
    <row r="336" spans="1:5" x14ac:dyDescent="0.3">
      <c r="A336" t="str">
        <f>MID(Tabla1[[#This Row],[ENLACE]],FIND("~",SUBSTITUTE(Tabla1[[#This Row],[ENLACE]],"/","~",2))+1,LEN(Tabla1[[#This Row],[ENLACE]]))</f>
        <v>us-sassuolo-calcio</v>
      </c>
      <c r="B336" s="2" t="s">
        <v>472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NO</v>
      </c>
    </row>
    <row r="337" spans="1:5" x14ac:dyDescent="0.3">
      <c r="A337" t="str">
        <f>MID(Tabla1[[#This Row],[ENLACE]],FIND("~",SUBSTITUTE(Tabla1[[#This Row],[ENLACE]],"/","~",2))+1,LEN(Tabla1[[#This Row],[ENLACE]]))</f>
        <v>torino-fc</v>
      </c>
      <c r="B337" s="5" t="s">
        <v>267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NO</v>
      </c>
    </row>
    <row r="338" spans="1:5" x14ac:dyDescent="0.3">
      <c r="A338" t="str">
        <f>MID(Tabla1[[#This Row],[ENLACE]],FIND("~",SUBSTITUTE(Tabla1[[#This Row],[ENLACE]],"/","~",2))+1,LEN(Tabla1[[#This Row],[ENLACE]]))</f>
        <v>udinese-calcio</v>
      </c>
      <c r="B338" s="2" t="s">
        <v>268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NO</v>
      </c>
    </row>
    <row r="339" spans="1:5" x14ac:dyDescent="0.3">
      <c r="A339" t="str">
        <f>MID(Tabla1[[#This Row],[ENLACE]],FIND("~",SUBSTITUTE(Tabla1[[#This Row],[ENLACE]],"/","~",2))+1,LEN(Tabla1[[#This Row],[ENLACE]]))</f>
        <v>hellas-verona-fc</v>
      </c>
      <c r="B339" s="5" t="s">
        <v>269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NO</v>
      </c>
    </row>
    <row r="340" spans="1:5" x14ac:dyDescent="0.3">
      <c r="A340" t="str">
        <f>MID(Tabla1[[#This Row],[ENLACE]],FIND("~",SUBSTITUTE(Tabla1[[#This Row],[ENLACE]],"/","~",2))+1,LEN(Tabla1[[#This Row],[ENLACE]]))</f>
        <v>atletico-san-luis</v>
      </c>
      <c r="B340" s="2" t="s">
        <v>270</v>
      </c>
      <c r="C340" t="str">
        <f>_xlfn.TEXTBEFORE(_xlfn.TEXTAFTER(Tabla1[[#This Row],[ENLACE]],"/",1),"/")</f>
        <v>mexico</v>
      </c>
      <c r="D340" t="str">
        <f>Tabla1[[#This Row],[PAIS]]</f>
        <v>mexico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atlas-fc</v>
      </c>
      <c r="B341" s="5" t="s">
        <v>271</v>
      </c>
      <c r="C341" t="str">
        <f>_xlfn.TEXTBEFORE(_xlfn.TEXTAFTER(Tabla1[[#This Row],[ENLACE]],"/",1),"/")</f>
        <v>mexico</v>
      </c>
      <c r="D341" t="str">
        <f>Tabla1[[#This Row],[PAIS]]</f>
        <v>mexico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club-america</v>
      </c>
      <c r="B342" s="2" t="s">
        <v>272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cruz-azul</v>
      </c>
      <c r="B343" s="5" t="s">
        <v>273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cd-guadalajara</v>
      </c>
      <c r="B344" s="2" t="s">
        <v>274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fc-juarez</v>
      </c>
      <c r="B345" s="5" t="s">
        <v>275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club-leon</v>
      </c>
      <c r="B346" s="2" t="s">
        <v>276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mazatlan-fc</v>
      </c>
      <c r="B347" s="5" t="s">
        <v>277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cf-monterrey</v>
      </c>
      <c r="B348" s="2" t="s">
        <v>278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club-necaxa</v>
      </c>
      <c r="B349" s="5" t="s">
        <v>279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cf-pachuca</v>
      </c>
      <c r="B350" s="2" t="s">
        <v>280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club-puebla</v>
      </c>
      <c r="B351" s="5" t="s">
        <v>281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queretaro-fc</v>
      </c>
      <c r="B352" s="2" t="s">
        <v>282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santos-laguna</v>
      </c>
      <c r="B353" s="5" t="s">
        <v>283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tigres-uanl</v>
      </c>
      <c r="B354" s="2" t="s">
        <v>284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club-tijuana</v>
      </c>
      <c r="B355" s="5" t="s">
        <v>285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deportivo-toluca-fc</v>
      </c>
      <c r="B356" s="2" t="s">
        <v>286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unam</v>
      </c>
      <c r="B357" s="5" t="s">
        <v>287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afc-ajax</v>
      </c>
      <c r="B358" s="2" t="s">
        <v>288</v>
      </c>
      <c r="C358" t="str">
        <f>_xlfn.TEXTBEFORE(_xlfn.TEXTAFTER(Tabla1[[#This Row],[ENLACE]],"/",1),"/")</f>
        <v>netherlands</v>
      </c>
      <c r="D358" t="str">
        <f>Tabla1[[#This Row],[PAIS]]</f>
        <v>netherlands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az-alkmaar</v>
      </c>
      <c r="B359" s="5" t="s">
        <v>289</v>
      </c>
      <c r="C359" t="str">
        <f>_xlfn.TEXTBEFORE(_xlfn.TEXTAFTER(Tabla1[[#This Row],[ENLACE]],"/",1),"/")</f>
        <v>netherlands</v>
      </c>
      <c r="D359" t="str">
        <f>Tabla1[[#This Row],[PAIS]]</f>
        <v>netherlands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sc-cambuur</v>
      </c>
      <c r="B360" s="2" t="s">
        <v>604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ado-den-haag</v>
      </c>
      <c r="B361" s="5" t="s">
        <v>605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290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feyenoord-rotterdam</v>
      </c>
      <c r="B363" s="5" t="s">
        <v>291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go-ahead-eagles</v>
      </c>
      <c r="B364" s="2" t="s">
        <v>292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fc-groningen</v>
      </c>
      <c r="B365" s="5" t="s">
        <v>293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sc-heerenveen</v>
      </c>
      <c r="B366" s="2" t="s">
        <v>294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nec-nijmegen</v>
      </c>
      <c r="B367" s="5" t="s">
        <v>295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psv-eindhoven</v>
      </c>
      <c r="B368" s="2" t="s">
        <v>296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fortuna-sittard</v>
      </c>
      <c r="B369" s="5" t="s">
        <v>297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sparta-rotterdam</v>
      </c>
      <c r="B370" s="2" t="s">
        <v>298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sc-telstar</v>
      </c>
      <c r="B371" s="5" t="s">
        <v>299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fc-twente</v>
      </c>
      <c r="B372" s="2" t="s">
        <v>300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fc-utrecht</v>
      </c>
      <c r="B373" s="5" t="s">
        <v>301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willem-ii</v>
      </c>
      <c r="B374" s="2" t="s">
        <v>606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pec-zwolle</v>
      </c>
      <c r="B375" s="5" t="s">
        <v>302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aalesunds-fk</v>
      </c>
      <c r="B376" s="2" t="s">
        <v>616</v>
      </c>
      <c r="C376" t="str">
        <f>_xlfn.TEXTBEFORE(_xlfn.TEXTAFTER(Tabla1[[#This Row],[ENLACE]],"/",1),"/")</f>
        <v>norway</v>
      </c>
      <c r="D376" t="str">
        <f>Tabla1[[#This Row],[PAIS]]</f>
        <v>norway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fk-bodo-glimt</v>
      </c>
      <c r="B377" s="5" t="s">
        <v>303</v>
      </c>
      <c r="C377" t="str">
        <f>_xlfn.TEXTBEFORE(_xlfn.TEXTAFTER(Tabla1[[#This Row],[ENLACE]],"/",1),"/")</f>
        <v>norway</v>
      </c>
      <c r="D377" t="str">
        <f>Tabla1[[#This Row],[PAIS]]</f>
        <v>norway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sk-brann</v>
      </c>
      <c r="B378" s="2" t="s">
        <v>304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fredrikstad-fk</v>
      </c>
      <c r="B379" s="5" t="s">
        <v>305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ham-kam</v>
      </c>
      <c r="B380" s="2" t="s">
        <v>306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kfum-kameratene-oslo</v>
      </c>
      <c r="B381" s="5" t="s">
        <v>307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kristiansund-bk</v>
      </c>
      <c r="B382" s="2" t="s">
        <v>308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lillestrom-sk</v>
      </c>
      <c r="B383" s="5" t="s">
        <v>617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molde-fk</v>
      </c>
      <c r="B384" s="2" t="s">
        <v>309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rosenborg-bk</v>
      </c>
      <c r="B385" s="5" t="s">
        <v>310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sandefjord-fotball</v>
      </c>
      <c r="B386" s="2" t="s">
        <v>311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sarpsborg-08-ff</v>
      </c>
      <c r="B387" s="5" t="s">
        <v>312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ik-start</v>
      </c>
      <c r="B388" s="2" t="s">
        <v>618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tromso-il</v>
      </c>
      <c r="B389" s="5" t="s">
        <v>313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valerenga-fotball</v>
      </c>
      <c r="B390" s="2" t="s">
        <v>314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viking-fk</v>
      </c>
      <c r="B391" s="5" t="s">
        <v>315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alianza-lima</v>
      </c>
      <c r="B392" t="s">
        <v>316</v>
      </c>
      <c r="C392" t="str">
        <f>_xlfn.TEXTBEFORE(_xlfn.TEXTAFTER(Tabla1[[#This Row],[ENLACE]],"/",1),"/")</f>
        <v>peru</v>
      </c>
      <c r="D392" t="str">
        <f>Tabla1[[#This Row],[PAIS]]</f>
        <v>peru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asociacion-deportiva-tarma</v>
      </c>
      <c r="B393" t="s">
        <v>317</v>
      </c>
      <c r="C393" t="str">
        <f>_xlfn.TEXTBEFORE(_xlfn.TEXTAFTER(Tabla1[[#This Row],[ENLACE]],"/",1),"/")</f>
        <v>peru</v>
      </c>
      <c r="D393" t="str">
        <f>Tabla1[[#This Row],[PAIS]]</f>
        <v>peru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alianza-atletico</v>
      </c>
      <c r="B394" t="s">
        <v>318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universidad-tecnica-de-cajamarca</v>
      </c>
      <c r="B395" t="s">
        <v>319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club-sportivo-cienciano</v>
      </c>
      <c r="B396" t="s">
        <v>320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comerciantes-unidos</v>
      </c>
      <c r="B397" t="s">
        <v>321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cusco-fc</v>
      </c>
      <c r="B398" t="s">
        <v>322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deportivo-garcilaso</v>
      </c>
      <c r="B399" t="s">
        <v>323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fc-cajamarca</v>
      </c>
      <c r="B400" t="s">
        <v>542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atletico-grau</v>
      </c>
      <c r="B401" t="s">
        <v>324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sport-huancayo</v>
      </c>
      <c r="B402" t="s">
        <v>325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adc-juan-pablo-ii-college</v>
      </c>
      <c r="B403" t="s">
        <v>326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los-chankas-cyc</v>
      </c>
      <c r="B404" t="s">
        <v>327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fbc-melgar</v>
      </c>
      <c r="B405" t="s">
        <v>328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club-deportivo-moquegua</v>
      </c>
      <c r="B406" t="s">
        <v>543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sport-boys</v>
      </c>
      <c r="B407" t="s">
        <v>329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sporting-cristal</v>
      </c>
      <c r="B408" t="s">
        <v>330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club-universitario-de-deportes</v>
      </c>
      <c r="B409" t="s">
        <v>331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cracovia</v>
      </c>
      <c r="B410" s="5" t="s">
        <v>332</v>
      </c>
      <c r="C410" t="str">
        <f>_xlfn.TEXTBEFORE(_xlfn.TEXTAFTER(Tabla1[[#This Row],[ENLACE]],"/",1),"/")</f>
        <v>poland</v>
      </c>
      <c r="D410" t="str">
        <f>Tabla1[[#This Row],[PAIS]]</f>
        <v>poland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gornik-zabrze</v>
      </c>
      <c r="B411" s="2" t="s">
        <v>333</v>
      </c>
      <c r="C411" t="str">
        <f>_xlfn.TEXTBEFORE(_xlfn.TEXTAFTER(Tabla1[[#This Row],[ENLACE]],"/",1),"/")</f>
        <v>poland</v>
      </c>
      <c r="D411" t="str">
        <f>Tabla1[[#This Row],[PAIS]]</f>
        <v>poland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jagiellona-bialystok</v>
      </c>
      <c r="B412" s="5" t="s">
        <v>334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gks-katowice</v>
      </c>
      <c r="B413" s="2" t="s">
        <v>335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korona-kielce</v>
      </c>
      <c r="B414" s="5" t="s">
        <v>336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lech-poznan</v>
      </c>
      <c r="B415" s="2" t="s">
        <v>337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legia-warsaw</v>
      </c>
      <c r="B416" s="5" t="s">
        <v>338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motor-lublin</v>
      </c>
      <c r="B417" s="2" t="s">
        <v>339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piast-gliwice</v>
      </c>
      <c r="B418" s="5" t="s">
        <v>340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mks-pogon-szczecin</v>
      </c>
      <c r="B419" s="2" t="s">
        <v>341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radomiak-radom</v>
      </c>
      <c r="B420" s="5" t="s">
        <v>342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rakow-czestochowa</v>
      </c>
      <c r="B421" s="2" t="s">
        <v>343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slask-wroclaw</v>
      </c>
      <c r="B422" s="5" t="s">
        <v>594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rts-widzew-lodz</v>
      </c>
      <c r="B423" s="2" t="s">
        <v>344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ks-wieczysta-krokow</v>
      </c>
      <c r="B424" s="5" t="s">
        <v>595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wisla-krakow</v>
      </c>
      <c r="B425" s="2" t="s">
        <v>596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wisla-plock</v>
      </c>
      <c r="B426" s="5" t="s">
        <v>345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zaglebie-lubin</v>
      </c>
      <c r="B427" s="2" t="s">
        <v>346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academico-de-viseu-fc</v>
      </c>
      <c r="B428" s="5" t="s">
        <v>619</v>
      </c>
      <c r="C428" t="str">
        <f>_xlfn.TEXTBEFORE(_xlfn.TEXTAFTER(Tabla1[[#This Row],[ENLACE]],"/",1),"/")</f>
        <v>portugal</v>
      </c>
      <c r="D428" t="str">
        <f>Tabla1[[#This Row],[PAIS]]</f>
        <v>portugal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fc-alverca</v>
      </c>
      <c r="B429" s="2" t="s">
        <v>347</v>
      </c>
      <c r="C429" t="str">
        <f>_xlfn.TEXTBEFORE(_xlfn.TEXTAFTER(Tabla1[[#This Row],[ENLACE]],"/",1),"/")</f>
        <v>portugal</v>
      </c>
      <c r="D429" t="str">
        <f>Tabla1[[#This Row],[PAIS]]</f>
        <v>portugal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fc-arouca</v>
      </c>
      <c r="B430" s="5" t="s">
        <v>348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benfica</v>
      </c>
      <c r="B431" s="2" t="s">
        <v>349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braga</v>
      </c>
      <c r="B432" s="5" t="s">
        <v>350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casa-pia-ac</v>
      </c>
      <c r="B433" s="2" t="s">
        <v>351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gd-estoril-praia</v>
      </c>
      <c r="B434" s="5" t="s">
        <v>352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cf-estrela-da-amadora</v>
      </c>
      <c r="B435" s="2" t="s">
        <v>353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famalicao</v>
      </c>
      <c r="B436" s="5" t="s">
        <v>354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fc-porto</v>
      </c>
      <c r="B437" s="2" t="s">
        <v>355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gil-vicente</v>
      </c>
      <c r="B438" s="5" t="s">
        <v>356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vitoria-de-guimaraes</v>
      </c>
      <c r="B439" s="2" t="s">
        <v>357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maritimo</v>
      </c>
      <c r="B440" s="5" t="s">
        <v>620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moreirense-fc</v>
      </c>
      <c r="B441" s="2" t="s">
        <v>358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cd-nacional</v>
      </c>
      <c r="B442" s="5" t="s">
        <v>359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rio-ave-fc</v>
      </c>
      <c r="B443" s="2" t="s">
        <v>360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santa-clara</v>
      </c>
      <c r="B444" s="5" t="s">
        <v>361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sporting-cp</v>
      </c>
      <c r="B445" s="2" t="s">
        <v>362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fc-botosani</v>
      </c>
      <c r="B446" s="5" t="s">
        <v>363</v>
      </c>
      <c r="C446" t="str">
        <f>_xlfn.TEXTBEFORE(_xlfn.TEXTAFTER(Tabla1[[#This Row],[ENLACE]],"/",1),"/")</f>
        <v>romania</v>
      </c>
      <c r="D446" t="str">
        <f>Tabla1[[#This Row],[PAIS]]</f>
        <v>romania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cfr-cluj</v>
      </c>
      <c r="B447" s="2" t="s">
        <v>364</v>
      </c>
      <c r="C447" t="str">
        <f>_xlfn.TEXTBEFORE(_xlfn.TEXTAFTER(Tabla1[[#This Row],[ENLACE]],"/",1),"/")</f>
        <v>romania</v>
      </c>
      <c r="D447" t="str">
        <f>Tabla1[[#This Row],[PAIS]]</f>
        <v>romania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corvinul-hunedoara</v>
      </c>
      <c r="B448" s="5" t="s">
        <v>597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fk-miercurea-ciuc</v>
      </c>
      <c r="B449" s="2" t="s">
        <v>365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fc-dinamo-bucuresti</v>
      </c>
      <c r="B450" s="5" t="s">
        <v>366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fc-farul-constanta</v>
      </c>
      <c r="B451" s="2" t="s">
        <v>367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fc-arges-pitesti</v>
      </c>
      <c r="B452" s="5" t="s">
        <v>368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fc-rapid-bucuresti</v>
      </c>
      <c r="B453" s="2" t="s">
        <v>369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fc-voluntari</v>
      </c>
      <c r="B454" s="5" t="s">
        <v>598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fcsb</v>
      </c>
      <c r="B455" s="2" t="s">
        <v>370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asc-otelul-galati</v>
      </c>
      <c r="B456" s="5" t="s">
        <v>371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fc-petrolul-ploiesti</v>
      </c>
      <c r="B457" s="2" t="s">
        <v>372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sepsi-osk-sftantu-gheorghe</v>
      </c>
      <c r="B458" s="5" t="s">
        <v>599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fc-universitatea-cluj</v>
      </c>
      <c r="B459" s="2" t="s">
        <v>373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cs-universitatea-craiova</v>
      </c>
      <c r="B460" s="5" t="s">
        <v>374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fc-uta-arad</v>
      </c>
      <c r="B461" s="2" t="s">
        <v>375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abha-club</v>
      </c>
      <c r="B462" s="5" t="s">
        <v>607</v>
      </c>
      <c r="C462" t="str">
        <f>_xlfn.TEXTBEFORE(_xlfn.TEXTAFTER(Tabla1[[#This Row],[ENLACE]],"/",1),"/")</f>
        <v>saudi-arabia</v>
      </c>
      <c r="D462" t="str">
        <f>Tabla1[[#This Row],[PAIS]]</f>
        <v>saudi-arabia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diriyah-club</v>
      </c>
      <c r="B463" s="2" t="s">
        <v>608</v>
      </c>
      <c r="C463" t="str">
        <f>_xlfn.TEXTBEFORE(_xlfn.TEXTAFTER(Tabla1[[#This Row],[ENLACE]],"/",1),"/")</f>
        <v>saudi-arabia</v>
      </c>
      <c r="D463" t="str">
        <f>Tabla1[[#This Row],[PAIS]]</f>
        <v>saudi-arabia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al-fateh-sc</v>
      </c>
      <c r="B464" s="5" t="s">
        <v>376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al-fayha-fc</v>
      </c>
      <c r="B465" s="2" t="s">
        <v>377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al-hazem-fc</v>
      </c>
      <c r="B466" s="5" t="s">
        <v>507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khaleej-fc</v>
      </c>
      <c r="B467" s="2" t="s">
        <v>378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al-kholood-club</v>
      </c>
      <c r="B468" s="5" t="s">
        <v>379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al-qadsiah-fc</v>
      </c>
      <c r="B469" s="2" t="s">
        <v>380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al-riyadh-sc</v>
      </c>
      <c r="B470" s="5" t="s">
        <v>381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al-ahli-saudi-fc</v>
      </c>
      <c r="B471" s="2" t="s">
        <v>382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al-ettifaq-fc</v>
      </c>
      <c r="B472" s="5" t="s">
        <v>383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al-faisaly-fc</v>
      </c>
      <c r="B473" s="2" t="s">
        <v>609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al-hilal-fc</v>
      </c>
      <c r="B474" s="5" t="s">
        <v>384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al-ittihad-fc</v>
      </c>
      <c r="B475" s="2" t="s">
        <v>385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al-nassr-fc</v>
      </c>
      <c r="B476" s="5" t="s">
        <v>386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al-shabab-fc</v>
      </c>
      <c r="B477" s="2" t="s">
        <v>387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al-taawoun-fc</v>
      </c>
      <c r="B478" s="5" t="s">
        <v>388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neom-sc</v>
      </c>
      <c r="B479" s="2" t="s">
        <v>508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aberdeen-fc</v>
      </c>
      <c r="B480" s="5" t="s">
        <v>389</v>
      </c>
      <c r="C480" t="str">
        <f>_xlfn.TEXTBEFORE(_xlfn.TEXTAFTER(Tabla1[[#This Row],[ENLACE]],"/",1),"/")</f>
        <v>scotland</v>
      </c>
      <c r="D480" t="str">
        <f>Tabla1[[#This Row],[PAIS]]</f>
        <v>scotland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celtic-fc</v>
      </c>
      <c r="B481" s="2" t="s">
        <v>390</v>
      </c>
      <c r="C481" t="str">
        <f>_xlfn.TEXTBEFORE(_xlfn.TEXTAFTER(Tabla1[[#This Row],[ENLACE]],"/",1),"/")</f>
        <v>scotland</v>
      </c>
      <c r="D481" t="str">
        <f>Tabla1[[#This Row],[PAIS]]</f>
        <v>scotland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dundee-fc</v>
      </c>
      <c r="B482" s="5" t="s">
        <v>391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dundee-united-fc</v>
      </c>
      <c r="B483" s="2" t="s">
        <v>392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falkirk-fc</v>
      </c>
      <c r="B484" s="5" t="s">
        <v>393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heart-of-midlothian-fc</v>
      </c>
      <c r="B485" s="2" t="s">
        <v>394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hibernian-fc</v>
      </c>
      <c r="B486" s="5" t="s">
        <v>395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kilmarnock-fc</v>
      </c>
      <c r="B487" s="2" t="s">
        <v>396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motherwell-fc</v>
      </c>
      <c r="B488" s="5" t="s">
        <v>397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rangers-fc</v>
      </c>
      <c r="B489" s="2" t="s">
        <v>398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st-johnstone-fc</v>
      </c>
      <c r="B490" s="5" t="s">
        <v>600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st-mirren-fc</v>
      </c>
      <c r="B491" s="2" t="s">
        <v>399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deportivo-de-a-coruna</v>
      </c>
      <c r="B492" s="5" t="s">
        <v>621</v>
      </c>
      <c r="C492" t="str">
        <f>_xlfn.TEXTBEFORE(_xlfn.TEXTAFTER(Tabla1[[#This Row],[ENLACE]],"/",1),"/")</f>
        <v>spain</v>
      </c>
      <c r="D492" t="str">
        <f>Tabla1[[#This Row],[PAIS]]</f>
        <v>spain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deportivo-alaves</v>
      </c>
      <c r="B493" s="2" t="s">
        <v>40</v>
      </c>
      <c r="C493" t="str">
        <f>_xlfn.TEXTBEFORE(_xlfn.TEXTAFTER(Tabla1[[#This Row],[ENLACE]],"/",1),"/")</f>
        <v>spain</v>
      </c>
      <c r="D493" t="str">
        <f>Tabla1[[#This Row],[PAIS]]</f>
        <v>spain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athletic-bilbao</v>
      </c>
      <c r="B494" s="5" t="s">
        <v>41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atletico-madrid</v>
      </c>
      <c r="B495" s="2" t="s">
        <v>42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fc-barcelona</v>
      </c>
      <c r="B496" s="5" t="s">
        <v>43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real-betis-balompie</v>
      </c>
      <c r="B497" s="2" t="s">
        <v>44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celta-vigo</v>
      </c>
      <c r="B498" s="5" t="s">
        <v>45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elche-cf</v>
      </c>
      <c r="B499" s="2" t="s">
        <v>476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rcd-espanyol</v>
      </c>
      <c r="B500" s="5" t="s">
        <v>46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getafe-cf</v>
      </c>
      <c r="B501" s="2" t="s">
        <v>47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levante-ud</v>
      </c>
      <c r="B502" s="5" t="s">
        <v>477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malaga-cf</v>
      </c>
      <c r="B503" s="2" t="s">
        <v>409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ca-osasuna</v>
      </c>
      <c r="B504" s="5" t="s">
        <v>52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racing-de-santander</v>
      </c>
      <c r="B505" s="2" t="s">
        <v>410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rayo-vallecano</v>
      </c>
      <c r="B506" s="5" t="s">
        <v>53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real-madrid-cf</v>
      </c>
      <c r="B507" s="2" t="s">
        <v>54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real-sociedad</v>
      </c>
      <c r="B508" s="5" t="s">
        <v>55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sevilla-fc</v>
      </c>
      <c r="B509" s="2" t="s">
        <v>56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valencia-cf</v>
      </c>
      <c r="B510" s="5" t="s">
        <v>57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villarreal-cf</v>
      </c>
      <c r="B511" s="2" t="s">
        <v>59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albacete-balompie</v>
      </c>
      <c r="B512" s="5" t="s">
        <v>400</v>
      </c>
      <c r="C512" t="str">
        <f>_xlfn.TEXTBEFORE(_xlfn.TEXTAFTER(Tabla1[[#This Row],[ENLACE]],"/",1),"/")</f>
        <v>spain</v>
      </c>
      <c r="D512" t="s">
        <v>586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ud-almeria</v>
      </c>
      <c r="B513" s="2" t="s">
        <v>401</v>
      </c>
      <c r="C513" t="str">
        <f>_xlfn.TEXTBEFORE(_xlfn.TEXTAFTER(Tabla1[[#This Row],[ENLACE]],"/",1),"/")</f>
        <v>spain</v>
      </c>
      <c r="D513" t="s">
        <v>586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fc-andorra</v>
      </c>
      <c r="B514" s="5" t="s">
        <v>465</v>
      </c>
      <c r="C514" t="str">
        <f>_xlfn.TEXTBEFORE(_xlfn.TEXTAFTER(Tabla1[[#This Row],[ENLACE]],"/",1),"/")</f>
        <v>spain</v>
      </c>
      <c r="D514" t="s">
        <v>586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burgos-cf</v>
      </c>
      <c r="B515" s="2" t="s">
        <v>402</v>
      </c>
      <c r="C515" t="str">
        <f>_xlfn.TEXTBEFORE(_xlfn.TEXTAFTER(Tabla1[[#This Row],[ENLACE]],"/",1),"/")</f>
        <v>spain</v>
      </c>
      <c r="D515" t="s">
        <v>586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cadiz-cf</v>
      </c>
      <c r="B516" s="5" t="s">
        <v>403</v>
      </c>
      <c r="C516" t="str">
        <f>_xlfn.TEXTBEFORE(_xlfn.TEXTAFTER(Tabla1[[#This Row],[ENLACE]],"/",1),"/")</f>
        <v>spain</v>
      </c>
      <c r="D516" t="s">
        <v>586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cd-castellon</v>
      </c>
      <c r="B517" s="2" t="s">
        <v>404</v>
      </c>
      <c r="C517" t="str">
        <f>_xlfn.TEXTBEFORE(_xlfn.TEXTAFTER(Tabla1[[#This Row],[ENLACE]],"/",1),"/")</f>
        <v>spain</v>
      </c>
      <c r="D517" t="s">
        <v>586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celta-de-vigo-b</v>
      </c>
      <c r="B518" s="5" t="s">
        <v>622</v>
      </c>
      <c r="C518" t="str">
        <f>_xlfn.TEXTBEFORE(_xlfn.TEXTAFTER(Tabla1[[#This Row],[ENLACE]],"/",1),"/")</f>
        <v>spain</v>
      </c>
      <c r="D518" t="s">
        <v>586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ad-ceuta-fc</v>
      </c>
      <c r="B519" s="2" t="s">
        <v>466</v>
      </c>
      <c r="C519" t="str">
        <f>_xlfn.TEXTBEFORE(_xlfn.TEXTAFTER(Tabla1[[#This Row],[ENLACE]],"/",1),"/")</f>
        <v>spain</v>
      </c>
      <c r="D519" t="s">
        <v>586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cordoba-cf</v>
      </c>
      <c r="B520" s="5" t="s">
        <v>405</v>
      </c>
      <c r="C520" t="str">
        <f>_xlfn.TEXTBEFORE(_xlfn.TEXTAFTER(Tabla1[[#This Row],[ENLACE]],"/",1),"/")</f>
        <v>spain</v>
      </c>
      <c r="D520" t="s">
        <v>586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sd-eibar</v>
      </c>
      <c r="B521" s="2" t="s">
        <v>406</v>
      </c>
      <c r="C521" t="str">
        <f>_xlfn.TEXTBEFORE(_xlfn.TEXTAFTER(Tabla1[[#This Row],[ENLACE]],"/",1),"/")</f>
        <v>spain</v>
      </c>
      <c r="D521" t="s">
        <v>586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cd-eldense</v>
      </c>
      <c r="B522" s="5" t="s">
        <v>623</v>
      </c>
      <c r="C522" t="str">
        <f>_xlfn.TEXTBEFORE(_xlfn.TEXTAFTER(Tabla1[[#This Row],[ENLACE]],"/",1),"/")</f>
        <v>spain</v>
      </c>
      <c r="D522" t="s">
        <v>586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sporting-de-gijon</v>
      </c>
      <c r="B523" s="2" t="s">
        <v>407</v>
      </c>
      <c r="C523" t="str">
        <f>_xlfn.TEXTBEFORE(_xlfn.TEXTAFTER(Tabla1[[#This Row],[ENLACE]],"/",1),"/")</f>
        <v>spain</v>
      </c>
      <c r="D523" t="s">
        <v>586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girona-fc</v>
      </c>
      <c r="B524" s="5" t="s">
        <v>48</v>
      </c>
      <c r="C524" t="str">
        <f>_xlfn.TEXTBEFORE(_xlfn.TEXTAFTER(Tabla1[[#This Row],[ENLACE]],"/",1),"/")</f>
        <v>spain</v>
      </c>
      <c r="D524" t="s">
        <v>586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granada-cf</v>
      </c>
      <c r="B525" s="2" t="s">
        <v>408</v>
      </c>
      <c r="C525" t="str">
        <f>_xlfn.TEXTBEFORE(_xlfn.TEXTAFTER(Tabla1[[#This Row],[ENLACE]],"/",1),"/")</f>
        <v>spain</v>
      </c>
      <c r="D525" t="s">
        <v>586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ud-las-palmas</v>
      </c>
      <c r="B526" s="5" t="s">
        <v>49</v>
      </c>
      <c r="C526" t="str">
        <f>_xlfn.TEXTBEFORE(_xlfn.TEXTAFTER(Tabla1[[#This Row],[ENLACE]],"/",1),"/")</f>
        <v>spain</v>
      </c>
      <c r="D526" t="s">
        <v>586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cd-leganes</v>
      </c>
      <c r="B527" s="2" t="s">
        <v>50</v>
      </c>
      <c r="C527" t="str">
        <f>_xlfn.TEXTBEFORE(_xlfn.TEXTAFTER(Tabla1[[#This Row],[ENLACE]],"/",1),"/")</f>
        <v>spain</v>
      </c>
      <c r="D527" t="s">
        <v>586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rcd-mallorca</v>
      </c>
      <c r="B528" s="5" t="s">
        <v>51</v>
      </c>
      <c r="C528" t="str">
        <f>_xlfn.TEXTBEFORE(_xlfn.TEXTAFTER(Tabla1[[#This Row],[ENLACE]],"/",1),"/")</f>
        <v>spain</v>
      </c>
      <c r="D528" t="s">
        <v>586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real-oviedo</v>
      </c>
      <c r="B529" s="2" t="s">
        <v>478</v>
      </c>
      <c r="C529" t="str">
        <f>_xlfn.TEXTBEFORE(_xlfn.TEXTAFTER(Tabla1[[#This Row],[ENLACE]],"/",1),"/")</f>
        <v>spain</v>
      </c>
      <c r="D529" t="s">
        <v>586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real-sociedad-b</v>
      </c>
      <c r="B530" s="5" t="s">
        <v>467</v>
      </c>
      <c r="C530" t="str">
        <f>_xlfn.TEXTBEFORE(_xlfn.TEXTAFTER(Tabla1[[#This Row],[ENLACE]],"/",1),"/")</f>
        <v>spain</v>
      </c>
      <c r="D530" t="s">
        <v>586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ce-sabadell-fc</v>
      </c>
      <c r="B531" s="2" t="s">
        <v>624</v>
      </c>
      <c r="C531" t="str">
        <f>_xlfn.TEXTBEFORE(_xlfn.TEXTAFTER(Tabla1[[#This Row],[ENLACE]],"/",1),"/")</f>
        <v>spain</v>
      </c>
      <c r="D531" t="s">
        <v>586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cd-tenerife</v>
      </c>
      <c r="B532" s="5" t="s">
        <v>625</v>
      </c>
      <c r="C532" t="str">
        <f>_xlfn.TEXTBEFORE(_xlfn.TEXTAFTER(Tabla1[[#This Row],[ENLACE]],"/",1),"/")</f>
        <v>spain</v>
      </c>
      <c r="D532" t="s">
        <v>586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real-valladolid</v>
      </c>
      <c r="B533" s="2" t="s">
        <v>58</v>
      </c>
      <c r="C533" t="str">
        <f>_xlfn.TEXTBEFORE(_xlfn.TEXTAFTER(Tabla1[[#This Row],[ENLACE]],"/",1),"/")</f>
        <v>spain</v>
      </c>
      <c r="D533" t="s">
        <v>586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aik</v>
      </c>
      <c r="B534" s="5" t="s">
        <v>411</v>
      </c>
      <c r="C534" t="str">
        <f>_xlfn.TEXTBEFORE(_xlfn.TEXTAFTER(Tabla1[[#This Row],[ENLACE]],"/",1),"/")</f>
        <v>sweden</v>
      </c>
      <c r="D534" t="str">
        <f>Tabla1[[#This Row],[PAIS]]</f>
        <v>sweden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if-brommapojkarna</v>
      </c>
      <c r="B535" s="2" t="s">
        <v>412</v>
      </c>
      <c r="C535" t="str">
        <f>_xlfn.TEXTBEFORE(_xlfn.TEXTAFTER(Tabla1[[#This Row],[ENLACE]],"/",1),"/")</f>
        <v>sweden</v>
      </c>
      <c r="D535" t="str">
        <f>Tabla1[[#This Row],[PAIS]]</f>
        <v>sweden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degerfors-if</v>
      </c>
      <c r="B536" s="5" t="s">
        <v>413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djurgardens-if</v>
      </c>
      <c r="B537" s="2" t="s">
        <v>414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if-elfsborg</v>
      </c>
      <c r="B538" s="5" t="s">
        <v>415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gais</v>
      </c>
      <c r="B539" s="2" t="s">
        <v>416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ifk-goteborg</v>
      </c>
      <c r="B540" s="5" t="s">
        <v>417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bk-hacken</v>
      </c>
      <c r="B541" s="2" t="s">
        <v>418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halmstads-bk</v>
      </c>
      <c r="B542" s="5" t="s">
        <v>419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hammarby-if</v>
      </c>
      <c r="B543" s="2" t="s">
        <v>420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kalmar-ff</v>
      </c>
      <c r="B544" s="5" t="s">
        <v>548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malmo-ff</v>
      </c>
      <c r="B545" s="2" t="s">
        <v>421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mjallby-aif</v>
      </c>
      <c r="B546" s="5" t="s">
        <v>422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orgryte-is</v>
      </c>
      <c r="B547" s="2" t="s">
        <v>549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ik-sirius</v>
      </c>
      <c r="B548" s="5" t="s">
        <v>423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vasteras-sk</v>
      </c>
      <c r="B549" s="2" t="s">
        <v>550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fc-basel</v>
      </c>
      <c r="B550" s="5" t="s">
        <v>424</v>
      </c>
      <c r="C550" t="str">
        <f>_xlfn.TEXTBEFORE(_xlfn.TEXTAFTER(Tabla1[[#This Row],[ENLACE]],"/",1),"/")</f>
        <v>switzerland</v>
      </c>
      <c r="D550" t="str">
        <f>Tabla1[[#This Row],[PAIS]]</f>
        <v>switzerland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grasshopper-club-zurich</v>
      </c>
      <c r="B551" s="2" t="s">
        <v>425</v>
      </c>
      <c r="C551" t="str">
        <f>_xlfn.TEXTBEFORE(_xlfn.TEXTAFTER(Tabla1[[#This Row],[ENLACE]],"/",1),"/")</f>
        <v>switzerland</v>
      </c>
      <c r="D551" t="str">
        <f>Tabla1[[#This Row],[PAIS]]</f>
        <v>switzerland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fc-lausanne-sport</v>
      </c>
      <c r="B552" s="5" t="s">
        <v>426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fc-lugano</v>
      </c>
      <c r="B553" s="2" t="s">
        <v>427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fc-luzern</v>
      </c>
      <c r="B554" s="5" t="s">
        <v>428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servette-fc</v>
      </c>
      <c r="B555" s="6" t="s">
        <v>429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fc-sion</v>
      </c>
      <c r="B556" t="s">
        <v>430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fc-st-gallen</v>
      </c>
      <c r="B557" s="7" t="s">
        <v>431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fc-thun</v>
      </c>
      <c r="B558" t="s">
        <v>432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fc-vaduz</v>
      </c>
      <c r="B559" s="7" t="s">
        <v>601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bsc-young-boys</v>
      </c>
      <c r="B560" t="s">
        <v>433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fc-zurich</v>
      </c>
      <c r="B561" s="7" t="s">
        <v>434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atlanta-united-fc</v>
      </c>
      <c r="B562" t="s">
        <v>435</v>
      </c>
      <c r="C562" t="str">
        <f>_xlfn.TEXTBEFORE(_xlfn.TEXTAFTER(Tabla1[[#This Row],[ENLACE]],"/",1),"/")</f>
        <v>usa</v>
      </c>
      <c r="D562" t="str">
        <f>Tabla1[[#This Row],[PAIS]]</f>
        <v>usa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austin-fc</v>
      </c>
      <c r="B563" s="7" t="s">
        <v>436</v>
      </c>
      <c r="C563" t="str">
        <f>_xlfn.TEXTBEFORE(_xlfn.TEXTAFTER(Tabla1[[#This Row],[ENLACE]],"/",1),"/")</f>
        <v>usa</v>
      </c>
      <c r="D563" t="str">
        <f>Tabla1[[#This Row],[PAIS]]</f>
        <v>usa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club-de-foot-montreal</v>
      </c>
      <c r="B564" t="s">
        <v>437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charlotte-fc</v>
      </c>
      <c r="B565" s="7" t="s">
        <v>438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chicago-fire-fc</v>
      </c>
      <c r="B566" t="s">
        <v>439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fc-cincinnati</v>
      </c>
      <c r="B567" s="7" t="s">
        <v>440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colorado-rapids</v>
      </c>
      <c r="B568" t="s">
        <v>441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columbus-crew-sc</v>
      </c>
      <c r="B569" s="7" t="s">
        <v>442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dc-united</v>
      </c>
      <c r="B570" t="s">
        <v>443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fc-dallas</v>
      </c>
      <c r="B571" s="7" t="s">
        <v>444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houston-dynamo</v>
      </c>
      <c r="B572" t="s">
        <v>445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inter-miami-cf</v>
      </c>
      <c r="B573" s="7" t="s">
        <v>446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los-angeles-fc</v>
      </c>
      <c r="B574" t="s">
        <v>447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los-angeles-galaxy</v>
      </c>
      <c r="B575" s="7" t="s">
        <v>448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minnesota-united-fc</v>
      </c>
      <c r="B576" t="s">
        <v>449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nashville-sc</v>
      </c>
      <c r="B577" s="7" t="s">
        <v>450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new-england-revolution</v>
      </c>
      <c r="B578" t="s">
        <v>451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new-york-city-fc</v>
      </c>
      <c r="B579" s="7" t="s">
        <v>452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new-york-red-bulls</v>
      </c>
      <c r="B580" t="s">
        <v>453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orlando-city-sc</v>
      </c>
      <c r="B581" s="7" t="s">
        <v>454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philadelphia-union</v>
      </c>
      <c r="B582" t="s">
        <v>455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portland-timbers</v>
      </c>
      <c r="B583" s="7" t="s">
        <v>456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real-salt-lake</v>
      </c>
      <c r="B584" t="s">
        <v>457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san-diego-fc</v>
      </c>
      <c r="B585" s="7" t="s">
        <v>458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san-jose-earthquakes</v>
      </c>
      <c r="B586" t="s">
        <v>459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seattle-sounders-fc</v>
      </c>
      <c r="B587" s="7" t="s">
        <v>460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sporting-kansas-city</v>
      </c>
      <c r="B588" t="s">
        <v>461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st-louis-city-sc</v>
      </c>
      <c r="B589" s="7" t="s">
        <v>462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toronto-fc</v>
      </c>
      <c r="B590" t="s">
        <v>463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vancouver-whitecaps-fc</v>
      </c>
      <c r="B591" s="7" t="s">
        <v>464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bohemians-fc</v>
      </c>
      <c r="B592" t="s">
        <v>551</v>
      </c>
      <c r="C592" t="str">
        <f>_xlfn.TEXTBEFORE(_xlfn.TEXTAFTER(Tabla1[[#This Row],[ENLACE]],"/",1),"/")</f>
        <v>ireland</v>
      </c>
      <c r="D592" t="str">
        <f>Tabla1[[#This Row],[PAIS]]</f>
        <v>ireland</v>
      </c>
      <c r="E592" s="8" t="str">
        <f ca="1">IF(VLOOKUP(Tabla1[[#This Row],[PAIS]],$H$2:$I$34,2)="x","SI","NO")</f>
        <v>NO</v>
      </c>
    </row>
    <row r="593" spans="1:5" x14ac:dyDescent="0.3">
      <c r="A593" t="str">
        <f>MID(Tabla1[[#This Row],[ENLACE]],FIND("~",SUBSTITUTE(Tabla1[[#This Row],[ENLACE]],"/","~",2))+1,LEN(Tabla1[[#This Row],[ENLACE]]))</f>
        <v>derry-city-fc</v>
      </c>
      <c r="B593" t="s">
        <v>552</v>
      </c>
      <c r="C593" t="str">
        <f>_xlfn.TEXTBEFORE(_xlfn.TEXTAFTER(Tabla1[[#This Row],[ENLACE]],"/",1),"/")</f>
        <v>ireland</v>
      </c>
      <c r="D593" t="str">
        <f>Tabla1[[#This Row],[PAIS]]</f>
        <v>ireland</v>
      </c>
      <c r="E593" s="8" t="str">
        <f ca="1">IF(VLOOKUP(Tabla1[[#This Row],[PAIS]],$H$2:$I$34,2)="x","SI","NO")</f>
        <v>NO</v>
      </c>
    </row>
    <row r="594" spans="1:5" x14ac:dyDescent="0.3">
      <c r="A594" t="str">
        <f>MID(Tabla1[[#This Row],[ENLACE]],FIND("~",SUBSTITUTE(Tabla1[[#This Row],[ENLACE]],"/","~",2))+1,LEN(Tabla1[[#This Row],[ENLACE]]))</f>
        <v>drogheda-united-fc</v>
      </c>
      <c r="B594" t="s">
        <v>553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NO</v>
      </c>
    </row>
    <row r="595" spans="1:5" x14ac:dyDescent="0.3">
      <c r="A595" t="str">
        <f>MID(Tabla1[[#This Row],[ENLACE]],FIND("~",SUBSTITUTE(Tabla1[[#This Row],[ENLACE]],"/","~",2))+1,LEN(Tabla1[[#This Row],[ENLACE]]))</f>
        <v>dundalk-fc</v>
      </c>
      <c r="B595" t="s">
        <v>554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NO</v>
      </c>
    </row>
    <row r="596" spans="1:5" x14ac:dyDescent="0.3">
      <c r="A596" t="str">
        <f>MID(Tabla1[[#This Row],[ENLACE]],FIND("~",SUBSTITUTE(Tabla1[[#This Row],[ENLACE]],"/","~",2))+1,LEN(Tabla1[[#This Row],[ENLACE]]))</f>
        <v>galway-united-fc</v>
      </c>
      <c r="B596" t="s">
        <v>555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NO</v>
      </c>
    </row>
    <row r="597" spans="1:5" x14ac:dyDescent="0.3">
      <c r="A597" t="str">
        <f>MID(Tabla1[[#This Row],[ENLACE]],FIND("~",SUBSTITUTE(Tabla1[[#This Row],[ENLACE]],"/","~",2))+1,LEN(Tabla1[[#This Row],[ENLACE]]))</f>
        <v>shamrock-rovers-fc</v>
      </c>
      <c r="B597" t="s">
        <v>556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NO</v>
      </c>
    </row>
    <row r="598" spans="1:5" x14ac:dyDescent="0.3">
      <c r="A598" t="str">
        <f>MID(Tabla1[[#This Row],[ENLACE]],FIND("~",SUBSTITUTE(Tabla1[[#This Row],[ENLACE]],"/","~",2))+1,LEN(Tabla1[[#This Row],[ENLACE]]))</f>
        <v>shelbourne-fc</v>
      </c>
      <c r="B598" t="s">
        <v>557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NO</v>
      </c>
    </row>
    <row r="599" spans="1:5" x14ac:dyDescent="0.3">
      <c r="A599" t="str">
        <f>MID(Tabla1[[#This Row],[ENLACE]],FIND("~",SUBSTITUTE(Tabla1[[#This Row],[ENLACE]],"/","~",2))+1,LEN(Tabla1[[#This Row],[ENLACE]]))</f>
        <v>sligo-rovers-fc</v>
      </c>
      <c r="B599" t="s">
        <v>558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NO</v>
      </c>
    </row>
    <row r="600" spans="1:5" x14ac:dyDescent="0.3">
      <c r="A600" t="str">
        <f>MID(Tabla1[[#This Row],[ENLACE]],FIND("~",SUBSTITUTE(Tabla1[[#This Row],[ENLACE]],"/","~",2))+1,LEN(Tabla1[[#This Row],[ENLACE]]))</f>
        <v>st-patricks-athletic-fc</v>
      </c>
      <c r="B600" t="s">
        <v>559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NO</v>
      </c>
    </row>
    <row r="601" spans="1:5" x14ac:dyDescent="0.3">
      <c r="A601" t="str">
        <f>MID(Tabla1[[#This Row],[ENLACE]],FIND("~",SUBSTITUTE(Tabla1[[#This Row],[ENLACE]],"/","~",2))+1,LEN(Tabla1[[#This Row],[ENLACE]]))</f>
        <v>waterford-fc</v>
      </c>
      <c r="B601" t="s">
        <v>560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NO</v>
      </c>
    </row>
    <row r="602" spans="1:5" x14ac:dyDescent="0.3">
      <c r="A602" t="str">
        <f>MID(Tabla1[[#This Row],[ENLACE]],FIND("~",SUBSTITUTE(Tabla1[[#This Row],[ENLACE]],"/","~",2))+1,LEN(Tabla1[[#This Row],[ENLACE]]))</f>
        <v>al-ahly-sc</v>
      </c>
      <c r="B602" t="s">
        <v>561</v>
      </c>
      <c r="C602" t="str">
        <f>_xlfn.TEXTBEFORE(_xlfn.TEXTAFTER(Tabla1[[#This Row],[ENLACE]],"/",1),"/")</f>
        <v>egypt</v>
      </c>
      <c r="D602" t="str">
        <f>Tabla1[[#This Row],[PAIS]]</f>
        <v>egypt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al-ittihad-ac</v>
      </c>
      <c r="B603" t="s">
        <v>562</v>
      </c>
      <c r="C603" t="str">
        <f>_xlfn.TEXTBEFORE(_xlfn.TEXTAFTER(Tabla1[[#This Row],[ENLACE]],"/",1),"/")</f>
        <v>egypt</v>
      </c>
      <c r="D603" t="str">
        <f>Tabla1[[#This Row],[PAIS]]</f>
        <v>egypt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al-masry-sc</v>
      </c>
      <c r="B604" t="s">
        <v>563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arab-contractors-sc</v>
      </c>
      <c r="B605" t="s">
        <v>564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ceramica-cleopatra-fc</v>
      </c>
      <c r="B606" t="s">
        <v>565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talaea-el-gaish-sc</v>
      </c>
      <c r="B607" t="s">
        <v>566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el-gouna-fc</v>
      </c>
      <c r="B608" t="s">
        <v>567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enppi-sc</v>
      </c>
      <c r="B609" t="s">
        <v>568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ghazi-el-mahalla-sc</v>
      </c>
      <c r="B610" t="s">
        <v>569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haras-el-hodoud-sc</v>
      </c>
      <c r="B611" t="s">
        <v>570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ismaily-sc</v>
      </c>
      <c r="B612" t="s">
        <v>571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kahrabaa-ismailia-sc</v>
      </c>
      <c r="B613" t="s">
        <v>572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modern-sport-fc</v>
      </c>
      <c r="B614" t="s">
        <v>573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national-bank-of-egypt-sc</v>
      </c>
      <c r="B615" t="s">
        <v>574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petrojet-sc</v>
      </c>
      <c r="B616" t="s">
        <v>575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pharco-fc</v>
      </c>
      <c r="B617" t="s">
        <v>576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pyramids-fc</v>
      </c>
      <c r="B618" t="s">
        <v>577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smouha-sc</v>
      </c>
      <c r="B619" t="s">
        <v>578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wadi-degla-sc</v>
      </c>
      <c r="B620" t="s">
        <v>579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zamalek-sc</v>
      </c>
      <c r="B621" t="s">
        <v>580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zed-fc</v>
      </c>
      <c r="B622" t="s">
        <v>581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</sheetData>
  <conditionalFormatting sqref="K2:K35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12:D53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2026-08-18T20:30:12Z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