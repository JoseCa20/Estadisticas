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398" documentId="13_ncr:1_{C9A4DFC4-E548-46DD-BD70-6930DD5E65F9}" xr6:coauthVersionLast="47" xr6:coauthVersionMax="47" xr10:uidLastSave="{C7F57AA5-B9DA-432F-9A57-20D620A8F3FB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6" i="1"/>
  <c r="H4" i="1"/>
  <c r="H5" i="1"/>
  <c r="H3" i="1"/>
  <c r="H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G2" i="1" l="1" a="1"/>
  <c r="D510" i="1" l="1"/>
  <c r="D308" i="1"/>
  <c r="D183" i="1"/>
  <c r="D204" i="1"/>
  <c r="D143" i="1"/>
  <c r="D530" i="1"/>
  <c r="D186" i="1"/>
  <c r="D280" i="1"/>
  <c r="D567" i="1"/>
  <c r="D435" i="1"/>
  <c r="D606" i="1"/>
  <c r="D256" i="1"/>
  <c r="D218" i="1"/>
  <c r="D611" i="1"/>
  <c r="D180" i="1"/>
  <c r="D562" i="1"/>
  <c r="D508" i="1"/>
  <c r="D36" i="1"/>
  <c r="D498" i="1"/>
  <c r="D116" i="1"/>
  <c r="D447" i="1"/>
  <c r="D232" i="1"/>
  <c r="D134" i="1"/>
  <c r="D599" i="1"/>
  <c r="D168" i="1"/>
  <c r="D526" i="1"/>
  <c r="D83" i="1"/>
  <c r="D459" i="1"/>
  <c r="D473" i="1"/>
  <c r="D150" i="1"/>
  <c r="D382" i="1"/>
  <c r="D295" i="1"/>
  <c r="D401" i="1"/>
  <c r="D608" i="1"/>
  <c r="D482" i="1"/>
  <c r="D92" i="1"/>
  <c r="D412" i="1"/>
  <c r="D208" i="1"/>
  <c r="D601" i="1"/>
  <c r="D122" i="1"/>
  <c r="D563" i="1"/>
  <c r="D132" i="1"/>
  <c r="D514" i="1"/>
  <c r="D616" i="1"/>
  <c r="D415" i="1"/>
  <c r="D104" i="1"/>
  <c r="D148" i="1"/>
  <c r="D220" i="1"/>
  <c r="D366" i="1"/>
  <c r="D556" i="1"/>
  <c r="D462" i="1"/>
  <c r="D162" i="1"/>
  <c r="D184" i="1"/>
  <c r="D565" i="1"/>
  <c r="D110" i="1"/>
  <c r="D551" i="1"/>
  <c r="D72" i="1"/>
  <c r="D502" i="1"/>
  <c r="D48" i="1"/>
  <c r="D342" i="1"/>
  <c r="D37" i="1"/>
  <c r="D470" i="1"/>
  <c r="D321" i="1"/>
  <c r="D413" i="1"/>
  <c r="D391" i="1"/>
  <c r="D628" i="1"/>
  <c r="D138" i="1"/>
  <c r="D303" i="1"/>
  <c r="D553" i="1"/>
  <c r="D564" i="1"/>
  <c r="D539" i="1"/>
  <c r="D528" i="1"/>
  <c r="D490" i="1"/>
  <c r="D190" i="1"/>
  <c r="D424" i="1"/>
  <c r="D261" i="1"/>
  <c r="D568" i="1"/>
  <c r="D566" i="1"/>
  <c r="D68" i="1"/>
  <c r="D200" i="1"/>
  <c r="D259" i="1"/>
  <c r="D375" i="1"/>
  <c r="D592" i="1"/>
  <c r="D114" i="1"/>
  <c r="D291" i="1"/>
  <c r="D457" i="1"/>
  <c r="D540" i="1"/>
  <c r="D420" i="1"/>
  <c r="D504" i="1"/>
  <c r="D371" i="1"/>
  <c r="D178" i="1"/>
  <c r="D124" i="1"/>
  <c r="D175" i="1"/>
  <c r="D543" i="1"/>
  <c r="D297" i="1"/>
  <c r="D165" i="1"/>
  <c r="D211" i="1"/>
  <c r="D161" i="1"/>
  <c r="D572" i="1"/>
  <c r="D621" i="1"/>
  <c r="D279" i="1"/>
  <c r="D445" i="1"/>
  <c r="D516" i="1"/>
  <c r="D408" i="1"/>
  <c r="D444" i="1"/>
  <c r="D359" i="1"/>
  <c r="D166" i="1"/>
  <c r="D458" i="1"/>
  <c r="D317" i="1"/>
  <c r="D100" i="1"/>
  <c r="D509" i="1"/>
  <c r="D531" i="1"/>
  <c r="D617" i="1"/>
  <c r="D354" i="1"/>
  <c r="D137" i="1"/>
  <c r="D429" i="1"/>
  <c r="D533" i="1"/>
  <c r="D243" i="1"/>
  <c r="D433" i="1"/>
  <c r="D421" i="1"/>
  <c r="D396" i="1"/>
  <c r="D397" i="1"/>
  <c r="D347" i="1"/>
  <c r="D154" i="1"/>
  <c r="D614" i="1"/>
  <c r="D437" i="1"/>
  <c r="D494" i="1"/>
  <c r="D59" i="1"/>
  <c r="D242" i="1"/>
  <c r="D337" i="1"/>
  <c r="D379" i="1"/>
  <c r="D460" i="1"/>
  <c r="D33" i="1"/>
  <c r="D171" i="1"/>
  <c r="D229" i="1"/>
  <c r="D313" i="1"/>
  <c r="D596" i="1"/>
  <c r="D471" i="1"/>
  <c r="D151" i="1"/>
  <c r="D127" i="1"/>
  <c r="D341" i="1"/>
  <c r="D474" i="1"/>
  <c r="D70" i="1"/>
  <c r="D345" i="1"/>
  <c r="D472" i="1"/>
  <c r="D558" i="1"/>
  <c r="D609" i="1"/>
  <c r="D306" i="1"/>
  <c r="D113" i="1"/>
  <c r="D393" i="1"/>
  <c r="D513" i="1"/>
  <c r="D207" i="1"/>
  <c r="D302" i="1"/>
  <c r="D385" i="1"/>
  <c r="D264" i="1"/>
  <c r="D373" i="1"/>
  <c r="D203" i="1"/>
  <c r="D142" i="1"/>
  <c r="D199" i="1"/>
  <c r="D102" i="1"/>
  <c r="D129" i="1"/>
  <c r="D234" i="1"/>
  <c r="D304" i="1"/>
  <c r="D265" i="1"/>
  <c r="D94" i="1"/>
  <c r="D597" i="1"/>
  <c r="D260" i="1"/>
  <c r="D591" i="1"/>
  <c r="D230" i="1"/>
  <c r="D192" i="1"/>
  <c r="D131" i="1"/>
  <c r="D128" i="1"/>
  <c r="D140" i="1"/>
  <c r="D555" i="1"/>
  <c r="D95" i="1"/>
  <c r="D532" i="1"/>
  <c r="D177" i="1"/>
  <c r="D496" i="1"/>
  <c r="D316" i="1"/>
  <c r="D438" i="1"/>
  <c r="D524" i="1"/>
  <c r="D593" i="1"/>
  <c r="D258" i="1"/>
  <c r="D89" i="1"/>
  <c r="D163" i="1"/>
  <c r="D441" i="1"/>
  <c r="D195" i="1"/>
  <c r="D290" i="1"/>
  <c r="D349" i="1"/>
  <c r="D252" i="1"/>
  <c r="D361" i="1"/>
  <c r="D191" i="1"/>
  <c r="D130" i="1"/>
  <c r="G2" i="1"/>
  <c r="D29" i="1" s="1"/>
  <c r="D76" i="1"/>
  <c r="D544" i="1"/>
  <c r="D262" i="1"/>
  <c r="D299" i="1"/>
  <c r="D598" i="1"/>
  <c r="D588" i="1"/>
  <c r="D348" i="1"/>
  <c r="D623" i="1"/>
  <c r="D314" i="1"/>
  <c r="D315" i="1"/>
  <c r="D549" i="1"/>
  <c r="D91" i="1"/>
  <c r="D164" i="1"/>
  <c r="D411" i="1"/>
  <c r="D499" i="1"/>
  <c r="D356" i="1"/>
  <c r="D61" i="1"/>
  <c r="D525" i="1"/>
  <c r="D595" i="1"/>
  <c r="D189" i="1"/>
  <c r="D368" i="1"/>
  <c r="D405" i="1"/>
  <c r="D196" i="1"/>
  <c r="D548" i="1"/>
  <c r="D388" i="1"/>
  <c r="D334" i="1"/>
  <c r="D311" i="1"/>
  <c r="D610" i="1"/>
  <c r="D52" i="1"/>
  <c r="D360" i="1"/>
  <c r="D53" i="1"/>
  <c r="D74" i="1"/>
  <c r="D350" i="1"/>
  <c r="D43" i="1"/>
  <c r="D136" i="1"/>
  <c r="D585" i="1"/>
  <c r="D115" i="1"/>
  <c r="D521" i="1"/>
  <c r="D427" i="1"/>
  <c r="D535" i="1"/>
  <c r="D414" i="1"/>
  <c r="D201" i="1"/>
  <c r="D101" i="1"/>
  <c r="D224" i="1"/>
  <c r="D495" i="1"/>
  <c r="D141" i="1"/>
  <c r="D46" i="1"/>
  <c r="D547" i="1"/>
  <c r="D271" i="1"/>
  <c r="D346" i="1"/>
  <c r="D323" i="1"/>
  <c r="D622" i="1"/>
  <c r="D64" i="1"/>
  <c r="D372" i="1"/>
  <c r="D65" i="1"/>
  <c r="D86" i="1"/>
  <c r="D410" i="1"/>
  <c r="D55" i="1"/>
  <c r="D160" i="1"/>
  <c r="D605" i="1"/>
  <c r="D139" i="1"/>
  <c r="D573" i="1"/>
  <c r="D446" i="1"/>
  <c r="D35" i="1"/>
  <c r="D501" i="1"/>
  <c r="D402" i="1"/>
  <c r="D93" i="1"/>
  <c r="D176" i="1"/>
  <c r="D270" i="1"/>
  <c r="D559" i="1"/>
  <c r="D343" i="1"/>
  <c r="D486" i="1"/>
  <c r="D318" i="1"/>
  <c r="D335" i="1"/>
  <c r="D157" i="1"/>
  <c r="D384" i="1"/>
  <c r="D98" i="1"/>
  <c r="D422" i="1"/>
  <c r="D75" i="1"/>
  <c r="D353" i="1"/>
  <c r="D394" i="1"/>
  <c r="D355" i="1"/>
  <c r="D376" i="1"/>
  <c r="D497" i="1"/>
  <c r="D32" i="1"/>
  <c r="D135" i="1"/>
  <c r="D517" i="1"/>
  <c r="D278" i="1"/>
  <c r="D205" i="1"/>
  <c r="D503" i="1"/>
  <c r="D240" i="1"/>
  <c r="D40" i="1"/>
  <c r="D253" i="1"/>
  <c r="D478" i="1"/>
  <c r="D179" i="1"/>
  <c r="D322" i="1"/>
  <c r="D62" i="1"/>
  <c r="D489" i="1"/>
  <c r="D580" i="1"/>
  <c r="D418" i="1"/>
  <c r="D71" i="1"/>
  <c r="D69" i="1"/>
  <c r="D450" i="1"/>
  <c r="D309" i="1"/>
  <c r="D380" i="1"/>
  <c r="D403" i="1"/>
  <c r="D126" i="1"/>
  <c r="D557" i="1"/>
  <c r="D377" i="1"/>
  <c r="D34" i="1"/>
  <c r="D305" i="1"/>
  <c r="D332" i="1"/>
  <c r="D331" i="1"/>
  <c r="D330" i="1"/>
  <c r="D477" i="1"/>
  <c r="D99" i="1"/>
  <c r="D505" i="1"/>
  <c r="D266" i="1"/>
  <c r="D42" i="1"/>
  <c r="D169" i="1"/>
  <c r="D491" i="1"/>
  <c r="D228" i="1"/>
  <c r="D241" i="1"/>
  <c r="D442" i="1"/>
  <c r="D167" i="1"/>
  <c r="D310" i="1"/>
  <c r="D579" i="1"/>
  <c r="D77" i="1"/>
  <c r="D487" i="1"/>
  <c r="D506" i="1"/>
  <c r="D618" i="1"/>
  <c r="D417" i="1"/>
  <c r="D223" i="1"/>
  <c r="D296" i="1"/>
  <c r="D81" i="1"/>
  <c r="D80" i="1"/>
  <c r="D537" i="1"/>
  <c r="D307" i="1"/>
  <c r="D626" i="1"/>
  <c r="D185" i="1"/>
  <c r="D284" i="1"/>
  <c r="D187" i="1"/>
  <c r="D210" i="1"/>
  <c r="D461" i="1"/>
  <c r="D327" i="1"/>
  <c r="D87" i="1"/>
  <c r="D493" i="1"/>
  <c r="D254" i="1"/>
  <c r="D73" i="1"/>
  <c r="D455" i="1"/>
  <c r="D216" i="1"/>
  <c r="D612" i="1"/>
  <c r="D217" i="1"/>
  <c r="D430" i="1"/>
  <c r="D155" i="1"/>
  <c r="D298" i="1"/>
  <c r="D197" i="1"/>
  <c r="D245" i="1"/>
  <c r="D225" i="1"/>
  <c r="D287" i="1"/>
  <c r="D250" i="1"/>
  <c r="D50" i="1"/>
  <c r="D615" i="1"/>
  <c r="D545" i="1"/>
  <c r="D357" i="1"/>
  <c r="D344" i="1"/>
  <c r="D620" i="1"/>
  <c r="D249" i="1"/>
  <c r="D45" i="1"/>
  <c r="D149" i="1"/>
  <c r="D507" i="1"/>
  <c r="D340" i="1"/>
  <c r="D293" i="1"/>
  <c r="D79" i="1"/>
  <c r="D212" i="1"/>
  <c r="D607" i="1"/>
  <c r="D590" i="1"/>
  <c r="D233" i="1"/>
  <c r="D485" i="1"/>
  <c r="D536" i="1"/>
  <c r="D90" i="1"/>
  <c r="D390" i="1"/>
  <c r="D351" i="1"/>
  <c r="D159" i="1"/>
  <c r="D589" i="1"/>
  <c r="D398" i="1"/>
  <c r="D158" i="1"/>
  <c r="D624" i="1"/>
  <c r="D133" i="1"/>
  <c r="D527" i="1"/>
  <c r="D336" i="1"/>
  <c r="D96" i="1"/>
  <c r="D492" i="1"/>
  <c r="D145" i="1"/>
  <c r="D466" i="1"/>
  <c r="D275" i="1"/>
  <c r="D51" i="1"/>
  <c r="D238" i="1"/>
  <c r="D38" i="1"/>
  <c r="D152" i="1"/>
  <c r="D273" i="1"/>
  <c r="D581" i="1"/>
  <c r="D269" i="1"/>
  <c r="D561" i="1"/>
  <c r="D174" i="1"/>
  <c r="D602" i="1"/>
  <c r="D103" i="1"/>
  <c r="D381" i="1"/>
  <c r="D594" i="1"/>
  <c r="D294" i="1"/>
  <c r="D247" i="1"/>
  <c r="D49" i="1"/>
  <c r="D188" i="1"/>
  <c r="D571" i="1"/>
  <c r="D570" i="1"/>
  <c r="D209" i="1"/>
  <c r="D449" i="1"/>
  <c r="D500" i="1"/>
  <c r="D627" i="1"/>
  <c r="D328" i="1"/>
  <c r="D339" i="1"/>
  <c r="D147" i="1"/>
  <c r="D577" i="1"/>
  <c r="D386" i="1"/>
  <c r="D146" i="1"/>
  <c r="D600" i="1"/>
  <c r="D85" i="1"/>
  <c r="D515" i="1"/>
  <c r="D324" i="1"/>
  <c r="D84" i="1"/>
  <c r="D468" i="1"/>
  <c r="D121" i="1"/>
  <c r="D454" i="1"/>
  <c r="D239" i="1"/>
  <c r="D39" i="1"/>
  <c r="D202" i="1"/>
  <c r="D399" i="1"/>
  <c r="D476" i="1"/>
  <c r="D78" i="1"/>
  <c r="D237" i="1"/>
  <c r="D512" i="1"/>
  <c r="D582" i="1"/>
  <c r="D105" i="1"/>
  <c r="D244" i="1"/>
  <c r="D364" i="1"/>
  <c r="D452" i="1"/>
  <c r="D522" i="1"/>
  <c r="D603" i="1"/>
  <c r="D213" i="1"/>
  <c r="D367" i="1"/>
  <c r="D292" i="1"/>
  <c r="D465" i="1"/>
  <c r="D520" i="1"/>
  <c r="D463" i="1"/>
  <c r="D534" i="1"/>
  <c r="D281" i="1"/>
  <c r="D283" i="1"/>
  <c r="D519" i="1"/>
  <c r="D58" i="1"/>
  <c r="D426" i="1"/>
  <c r="D112" i="1"/>
  <c r="D231" i="1"/>
  <c r="D541" i="1"/>
  <c r="D374" i="1"/>
  <c r="D206" i="1"/>
  <c r="D325" i="1"/>
  <c r="D41" i="1"/>
  <c r="D479" i="1"/>
  <c r="D312" i="1"/>
  <c r="D120" i="1"/>
  <c r="D576" i="1"/>
  <c r="D301" i="1"/>
  <c r="D586" i="1"/>
  <c r="D419" i="1"/>
  <c r="D227" i="1"/>
  <c r="D286" i="1"/>
  <c r="D118" i="1"/>
  <c r="D423" i="1"/>
  <c r="D198" i="1"/>
  <c r="D546" i="1"/>
  <c r="D434" i="1"/>
  <c r="D542" i="1"/>
  <c r="D268" i="1"/>
  <c r="D560" i="1"/>
  <c r="D248" i="1"/>
  <c r="D387" i="1"/>
  <c r="D416" i="1"/>
  <c r="D404" i="1"/>
  <c r="D173" i="1"/>
  <c r="D333" i="1"/>
  <c r="D246" i="1"/>
  <c r="D484" i="1"/>
  <c r="D392" i="1"/>
  <c r="D518" i="1"/>
  <c r="D257" i="1"/>
  <c r="D629" i="1"/>
  <c r="D60" i="1"/>
  <c r="D235" i="1"/>
  <c r="D483" i="1"/>
  <c r="D406" i="1"/>
  <c r="D56" i="1"/>
  <c r="D219" i="1"/>
  <c r="D67" i="1"/>
  <c r="D529" i="1"/>
  <c r="D362" i="1"/>
  <c r="D170" i="1"/>
  <c r="D289" i="1"/>
  <c r="D467" i="1"/>
  <c r="D276" i="1"/>
  <c r="D108" i="1"/>
  <c r="D552" i="1"/>
  <c r="D277" i="1"/>
  <c r="D574" i="1"/>
  <c r="D383" i="1"/>
  <c r="D215" i="1"/>
  <c r="D63" i="1"/>
  <c r="D274" i="1"/>
  <c r="D106" i="1"/>
  <c r="D453" i="1"/>
  <c r="D319" i="1"/>
  <c r="D285" i="1"/>
  <c r="D511" i="1"/>
  <c r="D117" i="1"/>
  <c r="D365" i="1"/>
  <c r="D47" i="1"/>
  <c r="D604" i="1"/>
  <c r="D451" i="1"/>
  <c r="D425" i="1"/>
  <c r="D389" i="1"/>
  <c r="D400" i="1"/>
  <c r="D578" i="1"/>
  <c r="D214" i="1"/>
  <c r="D358" i="1"/>
  <c r="D107" i="1"/>
  <c r="D251" i="1"/>
  <c r="D395" i="1"/>
  <c r="D538" i="1"/>
  <c r="D181" i="1"/>
  <c r="D409" i="1"/>
  <c r="D144" i="1"/>
  <c r="D288" i="1"/>
  <c r="D431" i="1"/>
  <c r="D575" i="1"/>
  <c r="D97" i="1"/>
  <c r="D456" i="1"/>
  <c r="D54" i="1"/>
  <c r="D182" i="1"/>
  <c r="D326" i="1"/>
  <c r="D469" i="1"/>
  <c r="D613" i="1"/>
  <c r="D111" i="1"/>
  <c r="D255" i="1"/>
  <c r="D352" i="1"/>
  <c r="D569" i="1"/>
  <c r="D282" i="1"/>
  <c r="D464" i="1"/>
  <c r="D236" i="1"/>
  <c r="D57" i="1"/>
  <c r="D329" i="1"/>
  <c r="D554" i="1"/>
  <c r="D428" i="1"/>
  <c r="D448" i="1"/>
  <c r="D378" i="1"/>
  <c r="D125" i="1"/>
  <c r="D172" i="1"/>
  <c r="D583" i="1"/>
  <c r="D584" i="1"/>
  <c r="D221" i="1"/>
  <c r="D439" i="1"/>
  <c r="D44" i="1"/>
  <c r="D475" i="1"/>
  <c r="D436" i="1"/>
  <c r="D619" i="1"/>
  <c r="D222" i="1"/>
  <c r="D440" i="1"/>
  <c r="D523" i="1"/>
  <c r="D363" i="1"/>
  <c r="D320" i="1"/>
  <c r="D272" i="1"/>
  <c r="D153" i="1"/>
  <c r="D488" i="1"/>
  <c r="D82" i="1"/>
  <c r="D226" i="1"/>
  <c r="D370" i="1"/>
  <c r="D119" i="1"/>
  <c r="D263" i="1"/>
  <c r="D407" i="1"/>
  <c r="D550" i="1"/>
  <c r="D193" i="1"/>
  <c r="D432" i="1"/>
  <c r="D156" i="1"/>
  <c r="D300" i="1"/>
  <c r="D443" i="1"/>
  <c r="D587" i="1"/>
  <c r="D109" i="1"/>
  <c r="D480" i="1"/>
  <c r="D66" i="1"/>
  <c r="D194" i="1"/>
  <c r="D338" i="1"/>
  <c r="D481" i="1"/>
  <c r="D625" i="1"/>
  <c r="D123" i="1"/>
  <c r="D267" i="1"/>
  <c r="D88" i="1"/>
  <c r="D369" i="1"/>
  <c r="D10" i="1" l="1"/>
  <c r="D4" i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<sst xmlns="http://schemas.openxmlformats.org/spreadsheetml/2006/main" count="661" uniqueCount="615">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</sst>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29" totalsRowShown="0" headerRowDxfId="4">
  <autoFilter ref="A1:D629" xr:uid="{1329FF03-B366-468C-915B-7B9006981626}"/>
  <sortState xmlns:xlrd2="http://schemas.microsoft.com/office/spreadsheetml/2017/richdata2" ref="A2:C629">
    <sortCondition ref="C1:C629"/>
  </sortState>
  <tableColumns count="4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4" xr3:uid="{864CABB9-1E94-4601-B818-3F8256A83250}" name="ANALIZAR" dataDxfId="1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29"/>
  <sheetViews>
    <sheetView tabSelected="1" topLeftCell="A67" workbookViewId="0">
      <selection activeCell="B72" sqref="B72:B91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598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SI</v>
      </c>
      <c r="G2" s="9" t="str" cm="1">
        <f t="array" ref="G2:G33">_xlfn.UNIQUE(Tabla1[PAIS])</f>
        <v>argentina</v>
      </c>
      <c r="H2" s="9" t="str">
        <f ca="1">IF(I2&gt;TODAY(),"","X")</f>
        <v>X</v>
      </c>
      <c r="I2" s="10">
        <v>46044</v>
      </c>
      <c r="J2" s="9" t="s">
        <v>599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SI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599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SI</v>
      </c>
      <c r="G4" s="9" t="str">
        <v>austria</v>
      </c>
      <c r="H4" s="9" t="str">
        <f t="shared" ref="H4:H33" ca="1" si="0">IF(I4&gt;TODAY(),"","X")</f>
        <v>X</v>
      </c>
      <c r="I4" s="10">
        <v>46059</v>
      </c>
      <c r="J4" s="9" t="s">
        <v>599</v>
      </c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SI</v>
      </c>
      <c r="G5" s="9" t="str">
        <v>belgium</v>
      </c>
      <c r="H5" s="9" t="str">
        <f t="shared" ca="1" si="0"/>
        <v>X</v>
      </c>
      <c r="I5" s="10">
        <v>46038</v>
      </c>
      <c r="J5" s="9" t="s">
        <v>599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SI</v>
      </c>
      <c r="G6" s="9" t="str">
        <v>brazil</v>
      </c>
      <c r="H6" s="9" t="str">
        <f t="shared" ca="1" si="0"/>
        <v>X</v>
      </c>
      <c r="I6" s="10">
        <v>46050</v>
      </c>
      <c r="J6" s="9" t="s">
        <v>599</v>
      </c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SI</v>
      </c>
      <c r="G7" s="9" t="str">
        <v>bulgaria</v>
      </c>
      <c r="H7" s="9" t="str">
        <f t="shared" ca="1" si="0"/>
        <v>X</v>
      </c>
      <c r="I7" s="10">
        <v>46060</v>
      </c>
      <c r="J7" s="9" t="s">
        <v>599</v>
      </c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SI</v>
      </c>
      <c r="G8" s="9" t="str">
        <v>chile</v>
      </c>
      <c r="H8" s="9" t="str">
        <f t="shared" ca="1" si="0"/>
        <v>X</v>
      </c>
      <c r="I8" s="10">
        <v>46052</v>
      </c>
      <c r="J8" s="9" t="s">
        <v>599</v>
      </c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SI</v>
      </c>
      <c r="G9" s="9" t="str">
        <v>colombia</v>
      </c>
      <c r="H9" s="9" t="str">
        <f t="shared" ca="1" si="0"/>
        <v>X</v>
      </c>
      <c r="I9" s="10">
        <v>46039</v>
      </c>
      <c r="J9" s="9" t="s">
        <v>599</v>
      </c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SI</v>
      </c>
      <c r="G10" s="9" t="str">
        <v>croatia</v>
      </c>
      <c r="H10" s="9" t="str">
        <f t="shared" ca="1" si="0"/>
        <v>X</v>
      </c>
      <c r="I10" s="10">
        <v>46045</v>
      </c>
      <c r="J10" s="9" t="s">
        <v>599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SI</v>
      </c>
      <c r="G11" s="9" t="str">
        <v>czech-republic</v>
      </c>
      <c r="H11" s="9" t="str">
        <f t="shared" ca="1" si="0"/>
        <v>X</v>
      </c>
      <c r="I11" s="10">
        <v>46053</v>
      </c>
      <c r="J11" s="9" t="s">
        <v>599</v>
      </c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SI</v>
      </c>
      <c r="G12" s="9" t="str">
        <v>denmark</v>
      </c>
      <c r="H12" s="9" t="str">
        <f t="shared" ca="1" si="0"/>
        <v>X</v>
      </c>
      <c r="I12" s="10">
        <v>46059</v>
      </c>
      <c r="J12" s="9" t="s">
        <v>599</v>
      </c>
    </row>
    <row r="13" spans="1:10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613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SI</v>
      </c>
      <c r="G13" s="9" t="str">
        <v>ecuador</v>
      </c>
      <c r="H13" s="9" t="str">
        <f t="shared" ca="1" si="0"/>
        <v>X</v>
      </c>
      <c r="I13" s="10">
        <v>46073</v>
      </c>
      <c r="J13" s="9" t="s">
        <v>599</v>
      </c>
    </row>
    <row r="14" spans="1:10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149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SI</v>
      </c>
      <c r="G14" s="9" t="str">
        <v>england</v>
      </c>
      <c r="H14" s="9" t="str">
        <f t="shared" ca="1" si="0"/>
        <v>X</v>
      </c>
      <c r="I14" s="10">
        <v>46030</v>
      </c>
      <c r="J14" s="9" t="s">
        <v>599</v>
      </c>
    </row>
    <row r="15" spans="1:10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614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SI</v>
      </c>
      <c r="G15" s="9" t="str">
        <v>finland</v>
      </c>
      <c r="H15" s="9" t="str">
        <f t="shared" ca="1" si="0"/>
        <v/>
      </c>
      <c r="I15" s="10">
        <v>46116</v>
      </c>
      <c r="J15" s="9"/>
    </row>
    <row r="16" spans="1:10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150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SI</v>
      </c>
      <c r="G16" s="9" t="str">
        <v>france</v>
      </c>
      <c r="H16" s="9" t="str">
        <f t="shared" ca="1" si="0"/>
        <v>X</v>
      </c>
      <c r="I16" s="10">
        <v>46030</v>
      </c>
      <c r="J16" s="9" t="s">
        <v>599</v>
      </c>
    </row>
    <row r="17" spans="1:10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151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SI</v>
      </c>
      <c r="G17" s="9" t="str">
        <v>germany</v>
      </c>
      <c r="H17" s="9" t="str">
        <f t="shared" ca="1" si="0"/>
        <v>X</v>
      </c>
      <c r="I17" s="10">
        <v>46030</v>
      </c>
      <c r="J17" s="9" t="s">
        <v>599</v>
      </c>
    </row>
    <row r="18" spans="1:10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152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SI</v>
      </c>
      <c r="G18" s="9" t="str">
        <v>greece</v>
      </c>
      <c r="H18" s="9" t="str">
        <f t="shared" ca="1" si="0"/>
        <v>X</v>
      </c>
      <c r="I18" s="10">
        <v>46030</v>
      </c>
      <c r="J18" s="9" t="s">
        <v>599</v>
      </c>
    </row>
    <row r="19" spans="1:10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153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SI</v>
      </c>
      <c r="G19" s="9" t="str">
        <v>italy</v>
      </c>
      <c r="H19" s="9" t="str">
        <f t="shared" ca="1" si="0"/>
        <v>X</v>
      </c>
      <c r="I19" s="10">
        <v>46030</v>
      </c>
      <c r="J19" s="9" t="s">
        <v>599</v>
      </c>
    </row>
    <row r="20" spans="1:10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154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SI</v>
      </c>
      <c r="G20" s="9" t="str">
        <v>mexico</v>
      </c>
      <c r="H20" s="9" t="str">
        <f t="shared" ca="1" si="0"/>
        <v>X</v>
      </c>
      <c r="I20" s="10">
        <v>46031</v>
      </c>
      <c r="J20" s="9" t="s">
        <v>599</v>
      </c>
    </row>
    <row r="21" spans="1:10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155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SI</v>
      </c>
      <c r="G21" s="9" t="str">
        <v>netherlands</v>
      </c>
      <c r="H21" s="9" t="str">
        <f t="shared" ca="1" si="0"/>
        <v>X</v>
      </c>
      <c r="I21" s="10">
        <v>46030</v>
      </c>
      <c r="J21" s="9" t="s">
        <v>599</v>
      </c>
    </row>
    <row r="22" spans="1:10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156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SI</v>
      </c>
      <c r="G22" s="9" t="str">
        <v>norway</v>
      </c>
      <c r="H22" s="9" t="str">
        <f t="shared" ca="1" si="0"/>
        <v/>
      </c>
      <c r="I22" s="10">
        <v>46095</v>
      </c>
      <c r="J22" s="9"/>
    </row>
    <row r="23" spans="1:10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157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SI</v>
      </c>
      <c r="G23" s="9" t="str">
        <v>peru</v>
      </c>
      <c r="H23" s="9" t="str">
        <f t="shared" ca="1" si="0"/>
        <v>X</v>
      </c>
      <c r="I23" s="10">
        <v>46052</v>
      </c>
      <c r="J23" s="9" t="s">
        <v>599</v>
      </c>
    </row>
    <row r="24" spans="1:10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158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SI</v>
      </c>
      <c r="G24" s="9" t="str">
        <v>poland</v>
      </c>
      <c r="H24" s="9" t="str">
        <f t="shared" ca="1" si="0"/>
        <v>X</v>
      </c>
      <c r="I24" s="10">
        <v>46052</v>
      </c>
      <c r="J24" s="9" t="s">
        <v>599</v>
      </c>
    </row>
    <row r="25" spans="1:10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159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SI</v>
      </c>
      <c r="G25" s="9" t="str">
        <v>portugal</v>
      </c>
      <c r="H25" s="9" t="str">
        <f t="shared" ca="1" si="0"/>
        <v>X</v>
      </c>
      <c r="I25" s="10">
        <v>46030</v>
      </c>
      <c r="J25" s="9" t="s">
        <v>599</v>
      </c>
    </row>
    <row r="26" spans="1:10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160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SI</v>
      </c>
      <c r="G26" s="9" t="str">
        <v>romania</v>
      </c>
      <c r="H26" s="9" t="str">
        <f t="shared" ca="1" si="0"/>
        <v>X</v>
      </c>
      <c r="I26" s="10">
        <v>46038</v>
      </c>
      <c r="J26" s="9" t="s">
        <v>599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161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SI</v>
      </c>
      <c r="G27" s="9" t="str">
        <v>saudi-arabia</v>
      </c>
      <c r="H27" s="9" t="str">
        <f t="shared" ca="1" si="0"/>
        <v>X</v>
      </c>
      <c r="I27" s="10">
        <v>46030</v>
      </c>
      <c r="J27" s="9" t="s">
        <v>599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162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SI</v>
      </c>
      <c r="G28" s="9" t="str">
        <v>scotland</v>
      </c>
      <c r="H28" s="9" t="str">
        <f t="shared" ca="1" si="0"/>
        <v>X</v>
      </c>
      <c r="I28" s="10">
        <v>46030</v>
      </c>
      <c r="J28" s="9" t="s">
        <v>599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163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SI</v>
      </c>
      <c r="G29" s="9" t="str">
        <v>spain</v>
      </c>
      <c r="H29" s="9" t="str">
        <f t="shared" ca="1" si="0"/>
        <v>X</v>
      </c>
      <c r="I29" s="10">
        <v>46030</v>
      </c>
      <c r="J29" s="9" t="s">
        <v>599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164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SI</v>
      </c>
      <c r="G30" s="9" t="str">
        <v>sweden</v>
      </c>
      <c r="H30" s="9" t="str">
        <f t="shared" ca="1" si="0"/>
        <v/>
      </c>
      <c r="I30" s="10">
        <v>46117</v>
      </c>
      <c r="J30" s="9"/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165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SI</v>
      </c>
      <c r="G31" s="9" t="str">
        <v>switzerland</v>
      </c>
      <c r="H31" s="9" t="str">
        <f t="shared" ca="1" si="0"/>
        <v>X</v>
      </c>
      <c r="I31" s="10">
        <v>46036</v>
      </c>
      <c r="J31" s="9" t="s">
        <v>599</v>
      </c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574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turkey</v>
      </c>
      <c r="H32" s="9" t="str">
        <f t="shared" ca="1" si="0"/>
        <v>X</v>
      </c>
      <c r="I32" s="10">
        <v>46039</v>
      </c>
      <c r="J32" s="9" t="s">
        <v>599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575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usa</v>
      </c>
      <c r="H33" s="9" t="str">
        <f t="shared" ca="1" si="0"/>
        <v>X</v>
      </c>
      <c r="I33" s="10">
        <v>46074</v>
      </c>
      <c r="J33" s="9" t="s">
        <v>599</v>
      </c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576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577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578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579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580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581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582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583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584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585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SI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SI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SI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SI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SI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SI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SI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SI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SI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SI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SI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SI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603</v>
      </c>
      <c r="C72" t="str">
        <f>_xlfn.TEXTBEFORE(_xlfn.TEXTAFTER(Tabla1[[#This Row],[ENLACE]],"/",1),"/")</f>
        <v>brazil</v>
      </c>
      <c r="D72" s="8" t="str">
        <f ca="1">IF(VLOOKUP(Tabla1[[#This Row],[PAIS]],$G$2:$H$34,2)="x","SI","NO")</f>
        <v>SI</v>
      </c>
    </row>
    <row r="73" spans="1:4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s="8" t="str">
        <f ca="1">IF(VLOOKUP(Tabla1[[#This Row],[PAIS]],$G$2:$H$34,2)="x","SI","NO")</f>
        <v>SI</v>
      </c>
    </row>
    <row r="74" spans="1:4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s="8" t="str">
        <f ca="1">IF(VLOOKUP(Tabla1[[#This Row],[PAIS]],$G$2:$H$34,2)="x","SI","NO")</f>
        <v>SI</v>
      </c>
    </row>
    <row r="75" spans="1:4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s="8" t="str">
        <f ca="1">IF(VLOOKUP(Tabla1[[#This Row],[PAIS]],$G$2:$H$34,2)="x","SI","NO")</f>
        <v>SI</v>
      </c>
    </row>
    <row r="76" spans="1:4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s="8" t="str">
        <f ca="1">IF(VLOOKUP(Tabla1[[#This Row],[PAIS]],$G$2:$H$34,2)="x","SI","NO")</f>
        <v>SI</v>
      </c>
    </row>
    <row r="77" spans="1:4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604</v>
      </c>
      <c r="C77" t="str">
        <f>_xlfn.TEXTBEFORE(_xlfn.TEXTAFTER(Tabla1[[#This Row],[ENLACE]],"/",1),"/")</f>
        <v>brazil</v>
      </c>
      <c r="D77" s="8" t="str">
        <f ca="1">IF(VLOOKUP(Tabla1[[#This Row],[PAIS]],$G$2:$H$34,2)="x","SI","NO")</f>
        <v>SI</v>
      </c>
    </row>
    <row r="78" spans="1:4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s="8" t="str">
        <f ca="1">IF(VLOOKUP(Tabla1[[#This Row],[PAIS]],$G$2:$H$34,2)="x","SI","NO")</f>
        <v>SI</v>
      </c>
    </row>
    <row r="79" spans="1:4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605</v>
      </c>
      <c r="C79" t="str">
        <f>_xlfn.TEXTBEFORE(_xlfn.TEXTAFTER(Tabla1[[#This Row],[ENLACE]],"/",1),"/")</f>
        <v>brazil</v>
      </c>
      <c r="D79" s="8" t="str">
        <f ca="1">IF(VLOOKUP(Tabla1[[#This Row],[PAIS]],$G$2:$H$34,2)="x","SI","NO")</f>
        <v>SI</v>
      </c>
    </row>
    <row r="80" spans="1:4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s="8" t="str">
        <f ca="1">IF(VLOOKUP(Tabla1[[#This Row],[PAIS]],$G$2:$H$34,2)="x","SI","NO")</f>
        <v>SI</v>
      </c>
    </row>
    <row r="81" spans="1:4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s="8" t="str">
        <f ca="1">IF(VLOOKUP(Tabla1[[#This Row],[PAIS]],$G$2:$H$34,2)="x","SI","NO")</f>
        <v>SI</v>
      </c>
    </row>
    <row r="82" spans="1:4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s="8" t="str">
        <f ca="1">IF(VLOOKUP(Tabla1[[#This Row],[PAIS]],$G$2:$H$34,2)="x","SI","NO")</f>
        <v>SI</v>
      </c>
    </row>
    <row r="83" spans="1:4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s="8" t="str">
        <f ca="1">IF(VLOOKUP(Tabla1[[#This Row],[PAIS]],$G$2:$H$34,2)="x","SI","NO")</f>
        <v>SI</v>
      </c>
    </row>
    <row r="84" spans="1:4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s="8" t="str">
        <f ca="1">IF(VLOOKUP(Tabla1[[#This Row],[PAIS]],$G$2:$H$34,2)="x","SI","NO")</f>
        <v>SI</v>
      </c>
    </row>
    <row r="85" spans="1:4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s="8" t="str">
        <f ca="1">IF(VLOOKUP(Tabla1[[#This Row],[PAIS]],$G$2:$H$34,2)="x","SI","NO")</f>
        <v>SI</v>
      </c>
    </row>
    <row r="86" spans="1:4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s="8" t="str">
        <f ca="1">IF(VLOOKUP(Tabla1[[#This Row],[PAIS]],$G$2:$H$34,2)="x","SI","NO")</f>
        <v>SI</v>
      </c>
    </row>
    <row r="87" spans="1:4" x14ac:dyDescent="0.3">
      <c r="A87" t="str">
        <f>MID(Tabla1[[#This Row],[ENLACE]],FIND("~",SUBSTITUTE(Tabla1[[#This Row],[ENLACE]],"/","~",2))+1,LEN(Tabla1[[#This Row],[ENLACE]]))</f>
        <v>clube-do-remo</v>
      </c>
      <c r="B87" s="3" t="s">
        <v>606</v>
      </c>
      <c r="C87" t="str">
        <f>_xlfn.TEXTBEFORE(_xlfn.TEXTAFTER(Tabla1[[#This Row],[ENLACE]],"/",1),"/")</f>
        <v>brazil</v>
      </c>
      <c r="D87" s="8" t="str">
        <f ca="1">IF(VLOOKUP(Tabla1[[#This Row],[PAIS]],$G$2:$H$34,2)="x","SI","NO")</f>
        <v>SI</v>
      </c>
    </row>
    <row r="88" spans="1:4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SI</v>
      </c>
    </row>
    <row r="89" spans="1:4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SI</v>
      </c>
    </row>
    <row r="90" spans="1:4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SI</v>
      </c>
    </row>
    <row r="91" spans="1:4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SI</v>
      </c>
    </row>
    <row r="92" spans="1:4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s="8" t="str">
        <f ca="1">IF(VLOOKUP(Tabla1[[#This Row],[PAIS]],$G$2:$H$34,2)="x","SI","NO")</f>
        <v>SI</v>
      </c>
    </row>
    <row r="93" spans="1:4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s="8" t="str">
        <f ca="1">IF(VLOOKUP(Tabla1[[#This Row],[PAIS]],$G$2:$H$34,2)="x","SI","NO")</f>
        <v>SI</v>
      </c>
    </row>
    <row r="94" spans="1:4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s="8" t="str">
        <f ca="1">IF(VLOOKUP(Tabla1[[#This Row],[PAIS]],$G$2:$H$34,2)="x","SI","NO")</f>
        <v>SI</v>
      </c>
    </row>
    <row r="95" spans="1:4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s="8" t="str">
        <f ca="1">IF(VLOOKUP(Tabla1[[#This Row],[PAIS]],$G$2:$H$34,2)="x","SI","NO")</f>
        <v>SI</v>
      </c>
    </row>
    <row r="96" spans="1:4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s="8" t="str">
        <f ca="1">IF(VLOOKUP(Tabla1[[#This Row],[PAIS]],$G$2:$H$34,2)="x","SI","NO")</f>
        <v>SI</v>
      </c>
    </row>
    <row r="97" spans="1:4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s="8" t="str">
        <f ca="1">IF(VLOOKUP(Tabla1[[#This Row],[PAIS]],$G$2:$H$34,2)="x","SI","NO")</f>
        <v>SI</v>
      </c>
    </row>
    <row r="98" spans="1:4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s="8" t="str">
        <f ca="1">IF(VLOOKUP(Tabla1[[#This Row],[PAIS]],$G$2:$H$34,2)="x","SI","NO")</f>
        <v>SI</v>
      </c>
    </row>
    <row r="99" spans="1:4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s="8" t="str">
        <f ca="1">IF(VLOOKUP(Tabla1[[#This Row],[PAIS]],$G$2:$H$34,2)="x","SI","NO")</f>
        <v>SI</v>
      </c>
    </row>
    <row r="100" spans="1:4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s="8" t="str">
        <f ca="1">IF(VLOOKUP(Tabla1[[#This Row],[PAIS]],$G$2:$H$34,2)="x","SI","NO")</f>
        <v>SI</v>
      </c>
    </row>
    <row r="101" spans="1:4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s="8" t="str">
        <f ca="1">IF(VLOOKUP(Tabla1[[#This Row],[PAIS]],$G$2:$H$34,2)="x","SI","NO")</f>
        <v>SI</v>
      </c>
    </row>
    <row r="102" spans="1:4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s="8" t="str">
        <f ca="1">IF(VLOOKUP(Tabla1[[#This Row],[PAIS]],$G$2:$H$34,2)="x","SI","NO")</f>
        <v>SI</v>
      </c>
    </row>
    <row r="103" spans="1:4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s="8" t="str">
        <f ca="1">IF(VLOOKUP(Tabla1[[#This Row],[PAIS]],$G$2:$H$34,2)="x","SI","NO")</f>
        <v>SI</v>
      </c>
    </row>
    <row r="104" spans="1:4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s="8" t="str">
        <f ca="1">IF(VLOOKUP(Tabla1[[#This Row],[PAIS]],$G$2:$H$34,2)="x","SI","NO")</f>
        <v>SI</v>
      </c>
    </row>
    <row r="105" spans="1:4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s="8" t="str">
        <f ca="1">IF(VLOOKUP(Tabla1[[#This Row],[PAIS]],$G$2:$H$34,2)="x","SI","NO")</f>
        <v>SI</v>
      </c>
    </row>
    <row r="106" spans="1:4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s="8" t="str">
        <f ca="1">IF(VLOOKUP(Tabla1[[#This Row],[PAIS]],$G$2:$H$34,2)="x","SI","NO")</f>
        <v>SI</v>
      </c>
    </row>
    <row r="107" spans="1:4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s="8" t="str">
        <f ca="1">IF(VLOOKUP(Tabla1[[#This Row],[PAIS]],$G$2:$H$34,2)="x","SI","NO")</f>
        <v>SI</v>
      </c>
    </row>
    <row r="108" spans="1:4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176</v>
      </c>
      <c r="C108" t="str">
        <f>_xlfn.TEXTBEFORE(_xlfn.TEXTAFTER(Tabla1[[#This Row],[ENLACE]],"/",1),"/")</f>
        <v>chile</v>
      </c>
      <c r="D108" s="8" t="str">
        <f ca="1">IF(VLOOKUP(Tabla1[[#This Row],[PAIS]],$G$2:$H$34,2)="x","SI","NO")</f>
        <v>SI</v>
      </c>
    </row>
    <row r="109" spans="1:4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177</v>
      </c>
      <c r="C109" t="str">
        <f>_xlfn.TEXTBEFORE(_xlfn.TEXTAFTER(Tabla1[[#This Row],[ENLACE]],"/",1),"/")</f>
        <v>chile</v>
      </c>
      <c r="D109" s="8" t="str">
        <f ca="1">IF(VLOOKUP(Tabla1[[#This Row],[PAIS]],$G$2:$H$34,2)="x","SI","NO")</f>
        <v>SI</v>
      </c>
    </row>
    <row r="110" spans="1:4" x14ac:dyDescent="0.3">
      <c r="A110" t="str">
        <f>MID(Tabla1[[#This Row],[ENLACE]],FIND("~",SUBSTITUTE(Tabla1[[#This Row],[ENLACE]],"/","~",2))+1,LEN(Tabla1[[#This Row],[ENLACE]]))</f>
        <v>colo-colo</v>
      </c>
      <c r="B110" s="4" t="s">
        <v>178</v>
      </c>
      <c r="C110" t="str">
        <f>_xlfn.TEXTBEFORE(_xlfn.TEXTAFTER(Tabla1[[#This Row],[ENLACE]],"/",1),"/")</f>
        <v>chile</v>
      </c>
      <c r="D110" s="8" t="str">
        <f ca="1">IF(VLOOKUP(Tabla1[[#This Row],[PAIS]],$G$2:$H$34,2)="x","SI","NO")</f>
        <v>SI</v>
      </c>
    </row>
    <row r="111" spans="1:4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179</v>
      </c>
      <c r="C111" t="str">
        <f>_xlfn.TEXTBEFORE(_xlfn.TEXTAFTER(Tabla1[[#This Row],[ENLACE]],"/",1),"/")</f>
        <v>chile</v>
      </c>
      <c r="D111" s="8" t="str">
        <f ca="1">IF(VLOOKUP(Tabla1[[#This Row],[PAIS]],$G$2:$H$34,2)="x","SI","NO")</f>
        <v>SI</v>
      </c>
    </row>
    <row r="112" spans="1:4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607</v>
      </c>
      <c r="C112" t="str">
        <f>_xlfn.TEXTBEFORE(_xlfn.TEXTAFTER(Tabla1[[#This Row],[ENLACE]],"/",1),"/")</f>
        <v>chile</v>
      </c>
      <c r="D112" s="8" t="str">
        <f ca="1">IF(VLOOKUP(Tabla1[[#This Row],[PAIS]],$G$2:$H$34,2)="x","SI","NO")</f>
        <v>SI</v>
      </c>
    </row>
    <row r="113" spans="1:4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180</v>
      </c>
      <c r="C113" t="str">
        <f>_xlfn.TEXTBEFORE(_xlfn.TEXTAFTER(Tabla1[[#This Row],[ENLACE]],"/",1),"/")</f>
        <v>chile</v>
      </c>
      <c r="D113" s="8" t="str">
        <f ca="1">IF(VLOOKUP(Tabla1[[#This Row],[PAIS]],$G$2:$H$34,2)="x","SI","NO")</f>
        <v>SI</v>
      </c>
    </row>
    <row r="114" spans="1:4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181</v>
      </c>
      <c r="C114" t="str">
        <f>_xlfn.TEXTBEFORE(_xlfn.TEXTAFTER(Tabla1[[#This Row],[ENLACE]],"/",1),"/")</f>
        <v>chile</v>
      </c>
      <c r="D114" s="8" t="str">
        <f ca="1">IF(VLOOKUP(Tabla1[[#This Row],[PAIS]],$G$2:$H$34,2)="x","SI","NO")</f>
        <v>SI</v>
      </c>
    </row>
    <row r="115" spans="1:4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182</v>
      </c>
      <c r="C115" t="str">
        <f>_xlfn.TEXTBEFORE(_xlfn.TEXTAFTER(Tabla1[[#This Row],[ENLACE]],"/",1),"/")</f>
        <v>chile</v>
      </c>
      <c r="D115" s="8" t="str">
        <f ca="1">IF(VLOOKUP(Tabla1[[#This Row],[PAIS]],$G$2:$H$34,2)="x","SI","NO")</f>
        <v>SI</v>
      </c>
    </row>
    <row r="116" spans="1:4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183</v>
      </c>
      <c r="C116" t="str">
        <f>_xlfn.TEXTBEFORE(_xlfn.TEXTAFTER(Tabla1[[#This Row],[ENLACE]],"/",1),"/")</f>
        <v>chile</v>
      </c>
      <c r="D116" s="8" t="str">
        <f ca="1">IF(VLOOKUP(Tabla1[[#This Row],[PAIS]],$G$2:$H$34,2)="x","SI","NO")</f>
        <v>SI</v>
      </c>
    </row>
    <row r="117" spans="1:4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184</v>
      </c>
      <c r="C117" t="str">
        <f>_xlfn.TEXTBEFORE(_xlfn.TEXTAFTER(Tabla1[[#This Row],[ENLACE]],"/",1),"/")</f>
        <v>chile</v>
      </c>
      <c r="D117" s="8" t="str">
        <f ca="1">IF(VLOOKUP(Tabla1[[#This Row],[PAIS]],$G$2:$H$34,2)="x","SI","NO")</f>
        <v>SI</v>
      </c>
    </row>
    <row r="118" spans="1:4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185</v>
      </c>
      <c r="C118" t="str">
        <f>_xlfn.TEXTBEFORE(_xlfn.TEXTAFTER(Tabla1[[#This Row],[ENLACE]],"/",1),"/")</f>
        <v>chile</v>
      </c>
      <c r="D118" s="8" t="str">
        <f ca="1">IF(VLOOKUP(Tabla1[[#This Row],[PAIS]],$G$2:$H$34,2)="x","SI","NO")</f>
        <v>SI</v>
      </c>
    </row>
    <row r="119" spans="1:4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186</v>
      </c>
      <c r="C119" t="str">
        <f>_xlfn.TEXTBEFORE(_xlfn.TEXTAFTER(Tabla1[[#This Row],[ENLACE]],"/",1),"/")</f>
        <v>chile</v>
      </c>
      <c r="D119" s="8" t="str">
        <f ca="1">IF(VLOOKUP(Tabla1[[#This Row],[PAIS]],$G$2:$H$34,2)="x","SI","NO")</f>
        <v>SI</v>
      </c>
    </row>
    <row r="120" spans="1:4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187</v>
      </c>
      <c r="C120" t="str">
        <f>_xlfn.TEXTBEFORE(_xlfn.TEXTAFTER(Tabla1[[#This Row],[ENLACE]],"/",1),"/")</f>
        <v>chile</v>
      </c>
      <c r="D120" s="8" t="str">
        <f ca="1">IF(VLOOKUP(Tabla1[[#This Row],[PAIS]],$G$2:$H$34,2)="x","SI","NO")</f>
        <v>SI</v>
      </c>
    </row>
    <row r="121" spans="1:4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188</v>
      </c>
      <c r="C121" t="str">
        <f>_xlfn.TEXTBEFORE(_xlfn.TEXTAFTER(Tabla1[[#This Row],[ENLACE]],"/",1),"/")</f>
        <v>chile</v>
      </c>
      <c r="D121" s="8" t="str">
        <f ca="1">IF(VLOOKUP(Tabla1[[#This Row],[PAIS]],$G$2:$H$34,2)="x","SI","NO")</f>
        <v>SI</v>
      </c>
    </row>
    <row r="122" spans="1:4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189</v>
      </c>
      <c r="C122" t="str">
        <f>_xlfn.TEXTBEFORE(_xlfn.TEXTAFTER(Tabla1[[#This Row],[ENLACE]],"/",1),"/")</f>
        <v>chile</v>
      </c>
      <c r="D122" s="8" t="str">
        <f ca="1">IF(VLOOKUP(Tabla1[[#This Row],[PAIS]],$G$2:$H$34,2)="x","SI","NO")</f>
        <v>SI</v>
      </c>
    </row>
    <row r="123" spans="1:4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608</v>
      </c>
      <c r="C123" t="str">
        <f>_xlfn.TEXTBEFORE(_xlfn.TEXTAFTER(Tabla1[[#This Row],[ENLACE]],"/",1),"/")</f>
        <v>chile</v>
      </c>
      <c r="D123" s="8" t="str">
        <f ca="1">IF(VLOOKUP(Tabla1[[#This Row],[PAIS]],$G$2:$H$34,2)="x","SI","NO")</f>
        <v>SI</v>
      </c>
    </row>
    <row r="124" spans="1:4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s="8" t="str">
        <f ca="1">IF(VLOOKUP(Tabla1[[#This Row],[PAIS]],$G$2:$H$34,2)="x","SI","NO")</f>
        <v>SI</v>
      </c>
    </row>
    <row r="125" spans="1:4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s="8" t="str">
        <f ca="1">IF(VLOOKUP(Tabla1[[#This Row],[PAIS]],$G$2:$H$34,2)="x","SI","NO")</f>
        <v>SI</v>
      </c>
    </row>
    <row r="126" spans="1:4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s="8" t="str">
        <f ca="1">IF(VLOOKUP(Tabla1[[#This Row],[PAIS]],$G$2:$H$34,2)="x","SI","NO")</f>
        <v>SI</v>
      </c>
    </row>
    <row r="127" spans="1:4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s="8" t="str">
        <f ca="1">IF(VLOOKUP(Tabla1[[#This Row],[PAIS]],$G$2:$H$34,2)="x","SI","NO")</f>
        <v>SI</v>
      </c>
    </row>
    <row r="128" spans="1:4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s="8" t="str">
        <f ca="1">IF(VLOOKUP(Tabla1[[#This Row],[PAIS]],$G$2:$H$34,2)="x","SI","NO")</f>
        <v>SI</v>
      </c>
    </row>
    <row r="129" spans="1:4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s="8" t="str">
        <f ca="1">IF(VLOOKUP(Tabla1[[#This Row],[PAIS]],$G$2:$H$34,2)="x","SI","NO")</f>
        <v>SI</v>
      </c>
    </row>
    <row r="130" spans="1:4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600</v>
      </c>
      <c r="C130" t="str">
        <f>_xlfn.TEXTBEFORE(_xlfn.TEXTAFTER(Tabla1[[#This Row],[ENLACE]],"/",1),"/")</f>
        <v>colombia</v>
      </c>
      <c r="D130" s="8" t="str">
        <f ca="1">IF(VLOOKUP(Tabla1[[#This Row],[PAIS]],$G$2:$H$34,2)="x","SI","NO")</f>
        <v>SI</v>
      </c>
    </row>
    <row r="131" spans="1:4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s="8" t="str">
        <f ca="1">IF(VLOOKUP(Tabla1[[#This Row],[PAIS]],$G$2:$H$34,2)="x","SI","NO")</f>
        <v>SI</v>
      </c>
    </row>
    <row r="132" spans="1:4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s="8" t="str">
        <f ca="1">IF(VLOOKUP(Tabla1[[#This Row],[PAIS]],$G$2:$H$34,2)="x","SI","NO")</f>
        <v>SI</v>
      </c>
    </row>
    <row r="133" spans="1:4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s="8" t="str">
        <f ca="1">IF(VLOOKUP(Tabla1[[#This Row],[PAIS]],$G$2:$H$34,2)="x","SI","NO")</f>
        <v>SI</v>
      </c>
    </row>
    <row r="134" spans="1:4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601</v>
      </c>
      <c r="C134" t="str">
        <f>_xlfn.TEXTBEFORE(_xlfn.TEXTAFTER(Tabla1[[#This Row],[ENLACE]],"/",1),"/")</f>
        <v>colombia</v>
      </c>
      <c r="D134" s="8" t="str">
        <f ca="1">IF(VLOOKUP(Tabla1[[#This Row],[PAIS]],$G$2:$H$34,2)="x","SI","NO")</f>
        <v>SI</v>
      </c>
    </row>
    <row r="135" spans="1:4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602</v>
      </c>
      <c r="C135" t="str">
        <f>_xlfn.TEXTBEFORE(_xlfn.TEXTAFTER(Tabla1[[#This Row],[ENLACE]],"/",1),"/")</f>
        <v>colombia</v>
      </c>
      <c r="D135" s="8" t="str">
        <f ca="1">IF(VLOOKUP(Tabla1[[#This Row],[PAIS]],$G$2:$H$34,2)="x","SI","NO")</f>
        <v>SI</v>
      </c>
    </row>
    <row r="136" spans="1:4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s="8" t="str">
        <f ca="1">IF(VLOOKUP(Tabla1[[#This Row],[PAIS]],$G$2:$H$34,2)="x","SI","NO")</f>
        <v>SI</v>
      </c>
    </row>
    <row r="137" spans="1:4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s="8" t="str">
        <f ca="1">IF(VLOOKUP(Tabla1[[#This Row],[PAIS]],$G$2:$H$34,2)="x","SI","NO")</f>
        <v>SI</v>
      </c>
    </row>
    <row r="138" spans="1:4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s="8" t="str">
        <f ca="1">IF(VLOOKUP(Tabla1[[#This Row],[PAIS]],$G$2:$H$34,2)="x","SI","NO")</f>
        <v>SI</v>
      </c>
    </row>
    <row r="139" spans="1:4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s="8" t="str">
        <f ca="1">IF(VLOOKUP(Tabla1[[#This Row],[PAIS]],$G$2:$H$34,2)="x","SI","NO")</f>
        <v>SI</v>
      </c>
    </row>
    <row r="140" spans="1:4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166</v>
      </c>
      <c r="C144" t="str">
        <f>_xlfn.TEXTBEFORE(_xlfn.TEXTAFTER(Tabla1[[#This Row],[ENLACE]],"/",1),"/")</f>
        <v>croatia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gorica</v>
      </c>
      <c r="B145" s="3" t="s">
        <v>167</v>
      </c>
      <c r="C145" t="str">
        <f>_xlfn.TEXTBEFORE(_xlfn.TEXTAFTER(Tabla1[[#This Row],[ENLACE]],"/",1),"/")</f>
        <v>croatia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168</v>
      </c>
      <c r="C146" t="str">
        <f>_xlfn.TEXTBEFORE(_xlfn.TEXTAFTER(Tabla1[[#This Row],[ENLACE]],"/",1),"/")</f>
        <v>croatia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istra-1961</v>
      </c>
      <c r="B147" s="3" t="s">
        <v>169</v>
      </c>
      <c r="C147" t="str">
        <f>_xlfn.TEXTBEFORE(_xlfn.TEXTAFTER(Tabla1[[#This Row],[ENLACE]],"/",1),"/")</f>
        <v>croatia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170</v>
      </c>
      <c r="C148" t="str">
        <f>_xlfn.TEXTBEFORE(_xlfn.TEXTAFTER(Tabla1[[#This Row],[ENLACE]],"/",1),"/")</f>
        <v>croatia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osijek</v>
      </c>
      <c r="B149" s="3" t="s">
        <v>171</v>
      </c>
      <c r="C149" t="str">
        <f>_xlfn.TEXTBEFORE(_xlfn.TEXTAFTER(Tabla1[[#This Row],[ENLACE]],"/",1),"/")</f>
        <v>croatia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rijeka</v>
      </c>
      <c r="B150" s="4" t="s">
        <v>172</v>
      </c>
      <c r="C150" t="str">
        <f>_xlfn.TEXTBEFORE(_xlfn.TEXTAFTER(Tabla1[[#This Row],[ENLACE]],"/",1),"/")</f>
        <v>croatia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173</v>
      </c>
      <c r="C151" t="str">
        <f>_xlfn.TEXTBEFORE(_xlfn.TEXTAFTER(Tabla1[[#This Row],[ENLACE]],"/",1),"/")</f>
        <v>croatia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varazdin</v>
      </c>
      <c r="B152" s="4" t="s">
        <v>174</v>
      </c>
      <c r="C152" t="str">
        <f>_xlfn.TEXTBEFORE(_xlfn.TEXTAFTER(Tabla1[[#This Row],[ENLACE]],"/",1),"/")</f>
        <v>croatia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175</v>
      </c>
      <c r="C153" t="str">
        <f>_xlfn.TEXTBEFORE(_xlfn.TEXTAFTER(Tabla1[[#This Row],[ENLACE]],"/",1),"/")</f>
        <v>croatia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190</v>
      </c>
      <c r="C154" t="str">
        <f>_xlfn.TEXTBEFORE(_xlfn.TEXTAFTER(Tabla1[[#This Row],[ENLACE]],"/",1),"/")</f>
        <v>czech-republic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191</v>
      </c>
      <c r="C155" t="str">
        <f>_xlfn.TEXTBEFORE(_xlfn.TEXTAFTER(Tabla1[[#This Row],[ENLACE]],"/",1),"/")</f>
        <v>czech-republic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192</v>
      </c>
      <c r="C156" t="str">
        <f>_xlfn.TEXTBEFORE(_xlfn.TEXTAFTER(Tabla1[[#This Row],[ENLACE]],"/",1),"/")</f>
        <v>czech-republic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193</v>
      </c>
      <c r="C157" t="str">
        <f>_xlfn.TEXTBEFORE(_xlfn.TEXTAFTER(Tabla1[[#This Row],[ENLACE]],"/",1),"/")</f>
        <v>czech-republic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194</v>
      </c>
      <c r="C158" t="str">
        <f>_xlfn.TEXTBEFORE(_xlfn.TEXTAFTER(Tabla1[[#This Row],[ENLACE]],"/",1),"/")</f>
        <v>czech-republic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195</v>
      </c>
      <c r="C159" t="str">
        <f>_xlfn.TEXTBEFORE(_xlfn.TEXTAFTER(Tabla1[[#This Row],[ENLACE]],"/",1),"/")</f>
        <v>czech-republic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196</v>
      </c>
      <c r="C160" t="str">
        <f>_xlfn.TEXTBEFORE(_xlfn.TEXTAFTER(Tabla1[[#This Row],[ENLACE]],"/",1),"/")</f>
        <v>czech-republic</v>
      </c>
      <c r="D160" s="8" t="str">
        <f ca="1">IF(VLOOKUP(Tabla1[[#This Row],[PAIS]],$G$2:$H$34,2)="x","SI","NO")</f>
        <v>SI</v>
      </c>
    </row>
    <row r="161" spans="1:4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197</v>
      </c>
      <c r="C161" t="str">
        <f>_xlfn.TEXTBEFORE(_xlfn.TEXTAFTER(Tabla1[[#This Row],[ENLACE]],"/",1),"/")</f>
        <v>czech-republic</v>
      </c>
      <c r="D161" s="8" t="str">
        <f ca="1">IF(VLOOKUP(Tabla1[[#This Row],[PAIS]],$G$2:$H$34,2)="x","SI","NO")</f>
        <v>SI</v>
      </c>
    </row>
    <row r="162" spans="1:4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198</v>
      </c>
      <c r="C162" t="str">
        <f>_xlfn.TEXTBEFORE(_xlfn.TEXTAFTER(Tabla1[[#This Row],[ENLACE]],"/",1),"/")</f>
        <v>czech-republic</v>
      </c>
      <c r="D162" s="8" t="str">
        <f ca="1">IF(VLOOKUP(Tabla1[[#This Row],[PAIS]],$G$2:$H$34,2)="x","SI","NO")</f>
        <v>SI</v>
      </c>
    </row>
    <row r="163" spans="1:4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199</v>
      </c>
      <c r="C163" t="str">
        <f>_xlfn.TEXTBEFORE(_xlfn.TEXTAFTER(Tabla1[[#This Row],[ENLACE]],"/",1),"/")</f>
        <v>czech-republic</v>
      </c>
      <c r="D163" s="8" t="str">
        <f ca="1">IF(VLOOKUP(Tabla1[[#This Row],[PAIS]],$G$2:$H$34,2)="x","SI","NO")</f>
        <v>SI</v>
      </c>
    </row>
    <row r="164" spans="1:4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200</v>
      </c>
      <c r="C164" t="str">
        <f>_xlfn.TEXTBEFORE(_xlfn.TEXTAFTER(Tabla1[[#This Row],[ENLACE]],"/",1),"/")</f>
        <v>czech-republic</v>
      </c>
      <c r="D164" s="8" t="str">
        <f ca="1">IF(VLOOKUP(Tabla1[[#This Row],[PAIS]],$G$2:$H$34,2)="x","SI","NO")</f>
        <v>SI</v>
      </c>
    </row>
    <row r="165" spans="1:4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201</v>
      </c>
      <c r="C165" t="str">
        <f>_xlfn.TEXTBEFORE(_xlfn.TEXTAFTER(Tabla1[[#This Row],[ENLACE]],"/",1),"/")</f>
        <v>czech-republic</v>
      </c>
      <c r="D165" s="8" t="str">
        <f ca="1">IF(VLOOKUP(Tabla1[[#This Row],[PAIS]],$G$2:$H$34,2)="x","SI","NO")</f>
        <v>SI</v>
      </c>
    </row>
    <row r="166" spans="1:4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202</v>
      </c>
      <c r="C166" t="str">
        <f>_xlfn.TEXTBEFORE(_xlfn.TEXTAFTER(Tabla1[[#This Row],[ENLACE]],"/",1),"/")</f>
        <v>czech-republic</v>
      </c>
      <c r="D166" s="8" t="str">
        <f ca="1">IF(VLOOKUP(Tabla1[[#This Row],[PAIS]],$G$2:$H$34,2)="x","SI","NO")</f>
        <v>SI</v>
      </c>
    </row>
    <row r="167" spans="1:4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203</v>
      </c>
      <c r="C167" t="str">
        <f>_xlfn.TEXTBEFORE(_xlfn.TEXTAFTER(Tabla1[[#This Row],[ENLACE]],"/",1),"/")</f>
        <v>czech-republic</v>
      </c>
      <c r="D167" s="8" t="str">
        <f ca="1">IF(VLOOKUP(Tabla1[[#This Row],[PAIS]],$G$2:$H$34,2)="x","SI","NO")</f>
        <v>SI</v>
      </c>
    </row>
    <row r="168" spans="1:4" x14ac:dyDescent="0.3">
      <c r="A168" t="str">
        <f>MID(Tabla1[[#This Row],[ENLACE]],FIND("~",SUBSTITUTE(Tabla1[[#This Row],[ENLACE]],"/","~",2))+1,LEN(Tabla1[[#This Row],[ENLACE]]))</f>
        <v>fk-teplice</v>
      </c>
      <c r="B168" s="2" t="s">
        <v>204</v>
      </c>
      <c r="C168" t="str">
        <f>_xlfn.TEXTBEFORE(_xlfn.TEXTAFTER(Tabla1[[#This Row],[ENLACE]],"/",1),"/")</f>
        <v>czech-republic</v>
      </c>
      <c r="D168" s="8" t="str">
        <f ca="1">IF(VLOOKUP(Tabla1[[#This Row],[PAIS]],$G$2:$H$34,2)="x","SI","NO")</f>
        <v>SI</v>
      </c>
    </row>
    <row r="169" spans="1:4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205</v>
      </c>
      <c r="C169" t="str">
        <f>_xlfn.TEXTBEFORE(_xlfn.TEXTAFTER(Tabla1[[#This Row],[ENLACE]],"/",1),"/")</f>
        <v>czech-republic</v>
      </c>
      <c r="D169" s="8" t="str">
        <f ca="1">IF(VLOOKUP(Tabla1[[#This Row],[PAIS]],$G$2:$H$34,2)="x","SI","NO")</f>
        <v>SI</v>
      </c>
    </row>
    <row r="170" spans="1:4" x14ac:dyDescent="0.3">
      <c r="A170" t="str">
        <f>MID(Tabla1[[#This Row],[ENLACE]],FIND("~",SUBSTITUTE(Tabla1[[#This Row],[ENLACE]],"/","~",2))+1,LEN(Tabla1[[#This Row],[ENLACE]]))</f>
        <v>aarhus</v>
      </c>
      <c r="B170" s="2" t="s">
        <v>206</v>
      </c>
      <c r="C170" t="str">
        <f>_xlfn.TEXTBEFORE(_xlfn.TEXTAFTER(Tabla1[[#This Row],[ENLACE]],"/",1),"/")</f>
        <v>denmark</v>
      </c>
      <c r="D170" s="8" t="str">
        <f ca="1">IF(VLOOKUP(Tabla1[[#This Row],[PAIS]],$G$2:$H$34,2)="x","SI","NO")</f>
        <v>SI</v>
      </c>
    </row>
    <row r="171" spans="1:4" x14ac:dyDescent="0.3">
      <c r="A171" t="str">
        <f>MID(Tabla1[[#This Row],[ENLACE]],FIND("~",SUBSTITUTE(Tabla1[[#This Row],[ENLACE]],"/","~",2))+1,LEN(Tabla1[[#This Row],[ENLACE]]))</f>
        <v>brondby</v>
      </c>
      <c r="B171" s="5" t="s">
        <v>207</v>
      </c>
      <c r="C171" t="str">
        <f>_xlfn.TEXTBEFORE(_xlfn.TEXTAFTER(Tabla1[[#This Row],[ENLACE]],"/",1),"/")</f>
        <v>denmark</v>
      </c>
      <c r="D171" s="8" t="str">
        <f ca="1">IF(VLOOKUP(Tabla1[[#This Row],[PAIS]],$G$2:$H$34,2)="x","SI","NO")</f>
        <v>SI</v>
      </c>
    </row>
    <row r="172" spans="1:4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208</v>
      </c>
      <c r="C172" t="str">
        <f>_xlfn.TEXTBEFORE(_xlfn.TEXTAFTER(Tabla1[[#This Row],[ENLACE]],"/",1),"/")</f>
        <v>denmark</v>
      </c>
      <c r="D172" s="8" t="str">
        <f ca="1">IF(VLOOKUP(Tabla1[[#This Row],[PAIS]],$G$2:$H$34,2)="x","SI","NO")</f>
        <v>SI</v>
      </c>
    </row>
    <row r="173" spans="1:4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209</v>
      </c>
      <c r="C173" t="str">
        <f>_xlfn.TEXTBEFORE(_xlfn.TEXTAFTER(Tabla1[[#This Row],[ENLACE]],"/",1),"/")</f>
        <v>denmark</v>
      </c>
      <c r="D173" s="8" t="str">
        <f ca="1">IF(VLOOKUP(Tabla1[[#This Row],[PAIS]],$G$2:$H$34,2)="x","SI","NO")</f>
        <v>SI</v>
      </c>
    </row>
    <row r="174" spans="1:4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210</v>
      </c>
      <c r="C174" t="str">
        <f>_xlfn.TEXTBEFORE(_xlfn.TEXTAFTER(Tabla1[[#This Row],[ENLACE]],"/",1),"/")</f>
        <v>denmark</v>
      </c>
      <c r="D174" s="8" t="str">
        <f ca="1">IF(VLOOKUP(Tabla1[[#This Row],[PAIS]],$G$2:$H$34,2)="x","SI","NO")</f>
        <v>SI</v>
      </c>
    </row>
    <row r="175" spans="1:4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211</v>
      </c>
      <c r="C175" t="str">
        <f>_xlfn.TEXTBEFORE(_xlfn.TEXTAFTER(Tabla1[[#This Row],[ENLACE]],"/",1),"/")</f>
        <v>denmark</v>
      </c>
      <c r="D175" s="8" t="str">
        <f ca="1">IF(VLOOKUP(Tabla1[[#This Row],[PAIS]],$G$2:$H$34,2)="x","SI","NO")</f>
        <v>SI</v>
      </c>
    </row>
    <row r="176" spans="1:4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212</v>
      </c>
      <c r="C176" t="str">
        <f>_xlfn.TEXTBEFORE(_xlfn.TEXTAFTER(Tabla1[[#This Row],[ENLACE]],"/",1),"/")</f>
        <v>denmark</v>
      </c>
      <c r="D176" s="8" t="str">
        <f ca="1">IF(VLOOKUP(Tabla1[[#This Row],[PAIS]],$G$2:$H$34,2)="x","SI","NO")</f>
        <v>SI</v>
      </c>
    </row>
    <row r="177" spans="1:4" x14ac:dyDescent="0.3">
      <c r="A177" t="str">
        <f>MID(Tabla1[[#This Row],[ENLACE]],FIND("~",SUBSTITUTE(Tabla1[[#This Row],[ENLACE]],"/","~",2))+1,LEN(Tabla1[[#This Row],[ENLACE]]))</f>
        <v>randers-fc</v>
      </c>
      <c r="B177" s="5" t="s">
        <v>213</v>
      </c>
      <c r="C177" t="str">
        <f>_xlfn.TEXTBEFORE(_xlfn.TEXTAFTER(Tabla1[[#This Row],[ENLACE]],"/",1),"/")</f>
        <v>denmark</v>
      </c>
      <c r="D177" s="8" t="str">
        <f ca="1">IF(VLOOKUP(Tabla1[[#This Row],[PAIS]],$G$2:$H$34,2)="x","SI","NO")</f>
        <v>SI</v>
      </c>
    </row>
    <row r="178" spans="1:4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214</v>
      </c>
      <c r="C178" t="str">
        <f>_xlfn.TEXTBEFORE(_xlfn.TEXTAFTER(Tabla1[[#This Row],[ENLACE]],"/",1),"/")</f>
        <v>denmark</v>
      </c>
      <c r="D178" s="8" t="str">
        <f ca="1">IF(VLOOKUP(Tabla1[[#This Row],[PAIS]],$G$2:$H$34,2)="x","SI","NO")</f>
        <v>SI</v>
      </c>
    </row>
    <row r="179" spans="1:4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215</v>
      </c>
      <c r="C179" t="str">
        <f>_xlfn.TEXTBEFORE(_xlfn.TEXTAFTER(Tabla1[[#This Row],[ENLACE]],"/",1),"/")</f>
        <v>denmark</v>
      </c>
      <c r="D179" s="8" t="str">
        <f ca="1">IF(VLOOKUP(Tabla1[[#This Row],[PAIS]],$G$2:$H$34,2)="x","SI","NO")</f>
        <v>SI</v>
      </c>
    </row>
    <row r="180" spans="1:4" x14ac:dyDescent="0.3">
      <c r="A180" t="str">
        <f>MID(Tabla1[[#This Row],[ENLACE]],FIND("~",SUBSTITUTE(Tabla1[[#This Row],[ENLACE]],"/","~",2))+1,LEN(Tabla1[[#This Row],[ENLACE]]))</f>
        <v>vejle-bk</v>
      </c>
      <c r="B180" s="2" t="s">
        <v>216</v>
      </c>
      <c r="C180" t="str">
        <f>_xlfn.TEXTBEFORE(_xlfn.TEXTAFTER(Tabla1[[#This Row],[ENLACE]],"/",1),"/")</f>
        <v>denmark</v>
      </c>
      <c r="D180" s="8" t="str">
        <f ca="1">IF(VLOOKUP(Tabla1[[#This Row],[PAIS]],$G$2:$H$34,2)="x","SI","NO")</f>
        <v>SI</v>
      </c>
    </row>
    <row r="181" spans="1:4" x14ac:dyDescent="0.3">
      <c r="A181" t="str">
        <f>MID(Tabla1[[#This Row],[ENLACE]],FIND("~",SUBSTITUTE(Tabla1[[#This Row],[ENLACE]],"/","~",2))+1,LEN(Tabla1[[#This Row],[ENLACE]]))</f>
        <v>viborg-ff</v>
      </c>
      <c r="B181" s="5" t="s">
        <v>217</v>
      </c>
      <c r="C181" t="str">
        <f>_xlfn.TEXTBEFORE(_xlfn.TEXTAFTER(Tabla1[[#This Row],[ENLACE]],"/",1),"/")</f>
        <v>denmark</v>
      </c>
      <c r="D181" s="8" t="str">
        <f ca="1">IF(VLOOKUP(Tabla1[[#This Row],[PAIS]],$G$2:$H$34,2)="x","SI","NO")</f>
        <v>SI</v>
      </c>
    </row>
    <row r="182" spans="1:4" x14ac:dyDescent="0.3">
      <c r="A182" t="str">
        <f>MID(Tabla1[[#This Row],[ENLACE]],FIND("~",SUBSTITUTE(Tabla1[[#This Row],[ENLACE]],"/","~",2))+1,LEN(Tabla1[[#This Row],[ENLACE]]))</f>
        <v>sd-aucas</v>
      </c>
      <c r="B182" s="5" t="s">
        <v>557</v>
      </c>
      <c r="C182" t="str">
        <f>_xlfn.TEXTBEFORE(_xlfn.TEXTAFTER(Tabla1[[#This Row],[ENLACE]],"/",1),"/")</f>
        <v>ecuador</v>
      </c>
      <c r="D182" s="8" t="str">
        <f ca="1">IF(VLOOKUP(Tabla1[[#This Row],[PAIS]],$G$2:$H$34,2)="x","SI","NO")</f>
        <v>SI</v>
      </c>
    </row>
    <row r="183" spans="1:4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558</v>
      </c>
      <c r="C183" t="str">
        <f>_xlfn.TEXTBEFORE(_xlfn.TEXTAFTER(Tabla1[[#This Row],[ENLACE]],"/",1),"/")</f>
        <v>ecuador</v>
      </c>
      <c r="D183" s="8" t="str">
        <f ca="1">IF(VLOOKUP(Tabla1[[#This Row],[PAIS]],$G$2:$H$34,2)="x","SI","NO")</f>
        <v>SI</v>
      </c>
    </row>
    <row r="184" spans="1:4" x14ac:dyDescent="0.3">
      <c r="A184" t="str">
        <f>MID(Tabla1[[#This Row],[ENLACE]],FIND("~",SUBSTITUTE(Tabla1[[#This Row],[ENLACE]],"/","~",2))+1,LEN(Tabla1[[#This Row],[ENLACE]]))</f>
        <v>delfin-sc</v>
      </c>
      <c r="B184" s="5" t="s">
        <v>559</v>
      </c>
      <c r="C184" t="str">
        <f>_xlfn.TEXTBEFORE(_xlfn.TEXTAFTER(Tabla1[[#This Row],[ENLACE]],"/",1),"/")</f>
        <v>ecuador</v>
      </c>
      <c r="D184" s="8" t="str">
        <f ca="1">IF(VLOOKUP(Tabla1[[#This Row],[PAIS]],$G$2:$H$34,2)="x","SI","NO")</f>
        <v>SI</v>
      </c>
    </row>
    <row r="185" spans="1:4" x14ac:dyDescent="0.3">
      <c r="A185" t="str">
        <f>MID(Tabla1[[#This Row],[ENLACE]],FIND("~",SUBSTITUTE(Tabla1[[#This Row],[ENLACE]],"/","~",2))+1,LEN(Tabla1[[#This Row],[ENLACE]]))</f>
        <v>cd-cuenca</v>
      </c>
      <c r="B185" s="5" t="s">
        <v>560</v>
      </c>
      <c r="C185" t="str">
        <f>_xlfn.TEXTBEFORE(_xlfn.TEXTAFTER(Tabla1[[#This Row],[ENLACE]],"/",1),"/")</f>
        <v>ecuador</v>
      </c>
      <c r="D185" s="8" t="str">
        <f ca="1">IF(VLOOKUP(Tabla1[[#This Row],[PAIS]],$G$2:$H$34,2)="x","SI","NO")</f>
        <v>SI</v>
      </c>
    </row>
    <row r="186" spans="1:4" x14ac:dyDescent="0.3">
      <c r="A186" t="str">
        <f>MID(Tabla1[[#This Row],[ENLACE]],FIND("~",SUBSTITUTE(Tabla1[[#This Row],[ENLACE]],"/","~",2))+1,LEN(Tabla1[[#This Row],[ENLACE]]))</f>
        <v>cs-emelec</v>
      </c>
      <c r="B186" s="5" t="s">
        <v>561</v>
      </c>
      <c r="C186" t="str">
        <f>_xlfn.TEXTBEFORE(_xlfn.TEXTAFTER(Tabla1[[#This Row],[ENLACE]],"/",1),"/")</f>
        <v>ecuador</v>
      </c>
      <c r="D186" s="8" t="str">
        <f ca="1">IF(VLOOKUP(Tabla1[[#This Row],[PAIS]],$G$2:$H$34,2)="x","SI","NO")</f>
        <v>SI</v>
      </c>
    </row>
    <row r="187" spans="1:4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611</v>
      </c>
      <c r="C187" t="str">
        <f>_xlfn.TEXTBEFORE(_xlfn.TEXTAFTER(Tabla1[[#This Row],[ENLACE]],"/",1),"/")</f>
        <v>ecuador</v>
      </c>
      <c r="D187" s="8" t="str">
        <f ca="1">IF(VLOOKUP(Tabla1[[#This Row],[PAIS]],$G$2:$H$34,2)="x","SI","NO")</f>
        <v>SI</v>
      </c>
    </row>
    <row r="188" spans="1:4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562</v>
      </c>
      <c r="C188" t="str">
        <f>_xlfn.TEXTBEFORE(_xlfn.TEXTAFTER(Tabla1[[#This Row],[ENLACE]],"/",1),"/")</f>
        <v>ecuador</v>
      </c>
      <c r="D188" s="8" t="str">
        <f ca="1">IF(VLOOKUP(Tabla1[[#This Row],[PAIS]],$G$2:$H$34,2)="x","SI","NO")</f>
        <v>SI</v>
      </c>
    </row>
    <row r="189" spans="1:4" x14ac:dyDescent="0.3">
      <c r="A189" t="str">
        <f>MID(Tabla1[[#This Row],[ENLACE]],FIND("~",SUBSTITUTE(Tabla1[[#This Row],[ENLACE]],"/","~",2))+1,LEN(Tabla1[[#This Row],[ENLACE]]))</f>
        <v>ldu-quito</v>
      </c>
      <c r="B189" s="5" t="s">
        <v>563</v>
      </c>
      <c r="C189" t="str">
        <f>_xlfn.TEXTBEFORE(_xlfn.TEXTAFTER(Tabla1[[#This Row],[ENLACE]],"/",1),"/")</f>
        <v>ecuador</v>
      </c>
      <c r="D189" s="8" t="str">
        <f ca="1">IF(VLOOKUP(Tabla1[[#This Row],[PAIS]],$G$2:$H$34,2)="x","SI","NO")</f>
        <v>SI</v>
      </c>
    </row>
    <row r="190" spans="1:4" x14ac:dyDescent="0.3">
      <c r="A190" t="str">
        <f>MID(Tabla1[[#This Row],[ENLACE]],FIND("~",SUBSTITUTE(Tabla1[[#This Row],[ENLACE]],"/","~",2))+1,LEN(Tabla1[[#This Row],[ENLACE]]))</f>
        <v>leones-fc</v>
      </c>
      <c r="B190" s="5" t="s">
        <v>612</v>
      </c>
      <c r="C190" t="str">
        <f>_xlfn.TEXTBEFORE(_xlfn.TEXTAFTER(Tabla1[[#This Row],[ENLACE]],"/",1),"/")</f>
        <v>ecuador</v>
      </c>
      <c r="D190" s="8" t="str">
        <f ca="1">IF(VLOOKUP(Tabla1[[#This Row],[PAIS]],$G$2:$H$34,2)="x","SI","NO")</f>
        <v>SI</v>
      </c>
    </row>
    <row r="191" spans="1:4" x14ac:dyDescent="0.3">
      <c r="A191" t="str">
        <f>MID(Tabla1[[#This Row],[ENLACE]],FIND("~",SUBSTITUTE(Tabla1[[#This Row],[ENLACE]],"/","~",2))+1,LEN(Tabla1[[#This Row],[ENLACE]]))</f>
        <v>libertad-fc</v>
      </c>
      <c r="B191" s="5" t="s">
        <v>564</v>
      </c>
      <c r="C191" t="str">
        <f>_xlfn.TEXTBEFORE(_xlfn.TEXTAFTER(Tabla1[[#This Row],[ENLACE]],"/",1),"/")</f>
        <v>ecuador</v>
      </c>
      <c r="D191" s="8" t="str">
        <f ca="1">IF(VLOOKUP(Tabla1[[#This Row],[PAIS]],$G$2:$H$34,2)="x","SI","NO")</f>
        <v>SI</v>
      </c>
    </row>
    <row r="192" spans="1:4" x14ac:dyDescent="0.3">
      <c r="A192" t="str">
        <f>MID(Tabla1[[#This Row],[ENLACE]],FIND("~",SUBSTITUTE(Tabla1[[#This Row],[ENLACE]],"/","~",2))+1,LEN(Tabla1[[#This Row],[ENLACE]]))</f>
        <v>csd-macara</v>
      </c>
      <c r="B192" s="5" t="s">
        <v>565</v>
      </c>
      <c r="C192" t="str">
        <f>_xlfn.TEXTBEFORE(_xlfn.TEXTAFTER(Tabla1[[#This Row],[ENLACE]],"/",1),"/")</f>
        <v>ecuador</v>
      </c>
      <c r="D192" s="8" t="str">
        <f ca="1">IF(VLOOKUP(Tabla1[[#This Row],[PAIS]],$G$2:$H$34,2)="x","SI","NO")</f>
        <v>SI</v>
      </c>
    </row>
    <row r="193" spans="1:4" x14ac:dyDescent="0.3">
      <c r="A193" t="str">
        <f>MID(Tabla1[[#This Row],[ENLACE]],FIND("~",SUBSTITUTE(Tabla1[[#This Row],[ENLACE]],"/","~",2))+1,LEN(Tabla1[[#This Row],[ENLACE]]))</f>
        <v>manta-fc</v>
      </c>
      <c r="B193" s="5" t="s">
        <v>566</v>
      </c>
      <c r="C193" t="str">
        <f>_xlfn.TEXTBEFORE(_xlfn.TEXTAFTER(Tabla1[[#This Row],[ENLACE]],"/",1),"/")</f>
        <v>ecuador</v>
      </c>
      <c r="D193" s="8" t="str">
        <f ca="1">IF(VLOOKUP(Tabla1[[#This Row],[PAIS]],$G$2:$H$34,2)="x","SI","NO")</f>
        <v>SI</v>
      </c>
    </row>
    <row r="194" spans="1:4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567</v>
      </c>
      <c r="C194" t="str">
        <f>_xlfn.TEXTBEFORE(_xlfn.TEXTAFTER(Tabla1[[#This Row],[ENLACE]],"/",1),"/")</f>
        <v>ecuador</v>
      </c>
      <c r="D194" s="8" t="str">
        <f ca="1">IF(VLOOKUP(Tabla1[[#This Row],[PAIS]],$G$2:$H$34,2)="x","SI","NO")</f>
        <v>SI</v>
      </c>
    </row>
    <row r="195" spans="1:4" x14ac:dyDescent="0.3">
      <c r="A195" t="str">
        <f>MID(Tabla1[[#This Row],[ENLACE]],FIND("~",SUBSTITUTE(Tabla1[[#This Row],[ENLACE]],"/","~",2))+1,LEN(Tabla1[[#This Row],[ENLACE]]))</f>
        <v>orense-sc</v>
      </c>
      <c r="B195" s="5" t="s">
        <v>568</v>
      </c>
      <c r="C195" t="str">
        <f>_xlfn.TEXTBEFORE(_xlfn.TEXTAFTER(Tabla1[[#This Row],[ENLACE]],"/",1),"/")</f>
        <v>ecuador</v>
      </c>
      <c r="D195" s="8" t="str">
        <f ca="1">IF(VLOOKUP(Tabla1[[#This Row],[PAIS]],$G$2:$H$34,2)="x","SI","NO")</f>
        <v>SI</v>
      </c>
    </row>
    <row r="196" spans="1:4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569</v>
      </c>
      <c r="C196" t="str">
        <f>_xlfn.TEXTBEFORE(_xlfn.TEXTAFTER(Tabla1[[#This Row],[ENLACE]],"/",1),"/")</f>
        <v>ecuador</v>
      </c>
      <c r="D196" s="8" t="str">
        <f ca="1">IF(VLOOKUP(Tabla1[[#This Row],[PAIS]],$G$2:$H$34,2)="x","SI","NO")</f>
        <v>SI</v>
      </c>
    </row>
    <row r="197" spans="1:4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570</v>
      </c>
      <c r="C197" t="str">
        <f>_xlfn.TEXTBEFORE(_xlfn.TEXTAFTER(Tabla1[[#This Row],[ENLACE]],"/",1),"/")</f>
        <v>ecuador</v>
      </c>
      <c r="D197" s="8" t="str">
        <f ca="1">IF(VLOOKUP(Tabla1[[#This Row],[PAIS]],$G$2:$H$34,2)="x","SI","NO")</f>
        <v>SI</v>
      </c>
    </row>
    <row r="198" spans="1:4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s="8" t="str">
        <f ca="1">IF(VLOOKUP(Tabla1[[#This Row],[PAIS]],$G$2:$H$34,2)="x","SI","NO")</f>
        <v>SI</v>
      </c>
    </row>
    <row r="199" spans="1:4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s="8" t="str">
        <f ca="1">IF(VLOOKUP(Tabla1[[#This Row],[PAIS]],$G$2:$H$34,2)="x","SI","NO")</f>
        <v>SI</v>
      </c>
    </row>
    <row r="200" spans="1:4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s="8" t="str">
        <f ca="1">IF(VLOOKUP(Tabla1[[#This Row],[PAIS]],$G$2:$H$34,2)="x","SI","NO")</f>
        <v>SI</v>
      </c>
    </row>
    <row r="201" spans="1:4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s="8" t="str">
        <f ca="1">IF(VLOOKUP(Tabla1[[#This Row],[PAIS]],$G$2:$H$34,2)="x","SI","NO")</f>
        <v>SI</v>
      </c>
    </row>
    <row r="202" spans="1:4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s="8" t="str">
        <f ca="1">IF(VLOOKUP(Tabla1[[#This Row],[PAIS]],$G$2:$H$34,2)="x","SI","NO")</f>
        <v>SI</v>
      </c>
    </row>
    <row r="203" spans="1:4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s="8" t="str">
        <f ca="1">IF(VLOOKUP(Tabla1[[#This Row],[PAIS]],$G$2:$H$34,2)="x","SI","NO")</f>
        <v>SI</v>
      </c>
    </row>
    <row r="204" spans="1:4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s="8" t="str">
        <f ca="1">IF(VLOOKUP(Tabla1[[#This Row],[PAIS]],$G$2:$H$34,2)="x","SI","NO")</f>
        <v>SI</v>
      </c>
    </row>
    <row r="205" spans="1:4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s="8" t="str">
        <f ca="1">IF(VLOOKUP(Tabla1[[#This Row],[PAIS]],$G$2:$H$34,2)="x","SI","NO")</f>
        <v>SI</v>
      </c>
    </row>
    <row r="206" spans="1:4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s="8" t="str">
        <f ca="1">IF(VLOOKUP(Tabla1[[#This Row],[PAIS]],$G$2:$H$34,2)="x","SI","NO")</f>
        <v>SI</v>
      </c>
    </row>
    <row r="207" spans="1:4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s="8" t="str">
        <f ca="1">IF(VLOOKUP(Tabla1[[#This Row],[PAIS]],$G$2:$H$34,2)="x","SI","NO")</f>
        <v>SI</v>
      </c>
    </row>
    <row r="208" spans="1:4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s="8" t="str">
        <f ca="1">IF(VLOOKUP(Tabla1[[#This Row],[PAIS]],$G$2:$H$34,2)="x","SI","NO")</f>
        <v>SI</v>
      </c>
    </row>
    <row r="209" spans="1:4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s="8" t="str">
        <f ca="1">IF(VLOOKUP(Tabla1[[#This Row],[PAIS]],$G$2:$H$34,2)="x","SI","NO")</f>
        <v>SI</v>
      </c>
    </row>
    <row r="210" spans="1:4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s="8" t="str">
        <f ca="1">IF(VLOOKUP(Tabla1[[#This Row],[PAIS]],$G$2:$H$34,2)="x","SI","NO")</f>
        <v>SI</v>
      </c>
    </row>
    <row r="211" spans="1:4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s="8" t="str">
        <f ca="1">IF(VLOOKUP(Tabla1[[#This Row],[PAIS]],$G$2:$H$34,2)="x","SI","NO")</f>
        <v>SI</v>
      </c>
    </row>
    <row r="212" spans="1:4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s="8" t="str">
        <f ca="1">IF(VLOOKUP(Tabla1[[#This Row],[PAIS]],$G$2:$H$34,2)="x","SI","NO")</f>
        <v>SI</v>
      </c>
    </row>
    <row r="213" spans="1:4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s="8" t="str">
        <f ca="1">IF(VLOOKUP(Tabla1[[#This Row],[PAIS]],$G$2:$H$34,2)="x","SI","NO")</f>
        <v>SI</v>
      </c>
    </row>
    <row r="214" spans="1:4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218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219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220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221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222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223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224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225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226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227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millwall-fc</v>
      </c>
      <c r="B228" s="2" t="s">
        <v>228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229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230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231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232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233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234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235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236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237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238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watford-fc</v>
      </c>
      <c r="B239" s="5" t="s">
        <v>239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240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241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if-gnistan</v>
      </c>
      <c r="B242" s="5" t="s">
        <v>586</v>
      </c>
      <c r="C242" t="str">
        <f>_xlfn.TEXTBEFORE(_xlfn.TEXTAFTER(Tabla1[[#This Row],[ENLACE]],"/",1),"/")</f>
        <v>finland</v>
      </c>
      <c r="D242" s="8" t="str">
        <f ca="1">IF(VLOOKUP(Tabla1[[#This Row],[PAIS]],$G$2:$H$34,2)="x","SI","NO")</f>
        <v>NO</v>
      </c>
    </row>
    <row r="243" spans="1:4" x14ac:dyDescent="0.3">
      <c r="A243" t="str">
        <f>MID(Tabla1[[#This Row],[ENLACE]],FIND("~",SUBSTITUTE(Tabla1[[#This Row],[ENLACE]],"/","~",2))+1,LEN(Tabla1[[#This Row],[ENLACE]]))</f>
        <v>fc-haka</v>
      </c>
      <c r="B243" s="5" t="s">
        <v>587</v>
      </c>
      <c r="C243" t="str">
        <f>_xlfn.TEXTBEFORE(_xlfn.TEXTAFTER(Tabla1[[#This Row],[ENLACE]],"/",1),"/")</f>
        <v>finland</v>
      </c>
      <c r="D243" s="8" t="str">
        <f ca="1">IF(VLOOKUP(Tabla1[[#This Row],[PAIS]],$G$2:$H$34,2)="x","SI","NO")</f>
        <v>NO</v>
      </c>
    </row>
    <row r="244" spans="1:4" x14ac:dyDescent="0.3">
      <c r="A244" t="str">
        <f>MID(Tabla1[[#This Row],[ENLACE]],FIND("~",SUBSTITUTE(Tabla1[[#This Row],[ENLACE]],"/","~",2))+1,LEN(Tabla1[[#This Row],[ENLACE]]))</f>
        <v>hjk-helsinki</v>
      </c>
      <c r="B244" s="5" t="s">
        <v>588</v>
      </c>
      <c r="C244" t="str">
        <f>_xlfn.TEXTBEFORE(_xlfn.TEXTAFTER(Tabla1[[#This Row],[ENLACE]],"/",1),"/")</f>
        <v>finland</v>
      </c>
      <c r="D244" s="8" t="str">
        <f ca="1">IF(VLOOKUP(Tabla1[[#This Row],[PAIS]],$G$2:$H$34,2)="x","SI","NO")</f>
        <v>NO</v>
      </c>
    </row>
    <row r="245" spans="1:4" x14ac:dyDescent="0.3">
      <c r="A245" t="str">
        <f>MID(Tabla1[[#This Row],[ENLACE]],FIND("~",SUBSTITUTE(Tabla1[[#This Row],[ENLACE]],"/","~",2))+1,LEN(Tabla1[[#This Row],[ENLACE]]))</f>
        <v>fc-ilves</v>
      </c>
      <c r="B245" s="5" t="s">
        <v>589</v>
      </c>
      <c r="C245" t="str">
        <f>_xlfn.TEXTBEFORE(_xlfn.TEXTAFTER(Tabla1[[#This Row],[ENLACE]],"/",1),"/")</f>
        <v>finland</v>
      </c>
      <c r="D245" s="8" t="str">
        <f ca="1">IF(VLOOKUP(Tabla1[[#This Row],[PAIS]],$G$2:$H$34,2)="x","SI","NO")</f>
        <v>NO</v>
      </c>
    </row>
    <row r="246" spans="1:4" x14ac:dyDescent="0.3">
      <c r="A246" t="str">
        <f>MID(Tabla1[[#This Row],[ENLACE]],FIND("~",SUBSTITUTE(Tabla1[[#This Row],[ENLACE]],"/","~",2))+1,LEN(Tabla1[[#This Row],[ENLACE]]))</f>
        <v>fc-inter-turku</v>
      </c>
      <c r="B246" s="5" t="s">
        <v>590</v>
      </c>
      <c r="C246" t="str">
        <f>_xlfn.TEXTBEFORE(_xlfn.TEXTAFTER(Tabla1[[#This Row],[ENLACE]],"/",1),"/")</f>
        <v>finland</v>
      </c>
      <c r="D246" s="8" t="str">
        <f ca="1">IF(VLOOKUP(Tabla1[[#This Row],[PAIS]],$G$2:$H$34,2)="x","SI","NO")</f>
        <v>NO</v>
      </c>
    </row>
    <row r="247" spans="1:4" x14ac:dyDescent="0.3">
      <c r="A247" t="str">
        <f>MID(Tabla1[[#This Row],[ENLACE]],FIND("~",SUBSTITUTE(Tabla1[[#This Row],[ENLACE]],"/","~",2))+1,LEN(Tabla1[[#This Row],[ENLACE]]))</f>
        <v>ff-jaro</v>
      </c>
      <c r="B247" s="5" t="s">
        <v>591</v>
      </c>
      <c r="C247" t="str">
        <f>_xlfn.TEXTBEFORE(_xlfn.TEXTAFTER(Tabla1[[#This Row],[ENLACE]],"/",1),"/")</f>
        <v>finland</v>
      </c>
      <c r="D247" s="8" t="str">
        <f ca="1">IF(VLOOKUP(Tabla1[[#This Row],[PAIS]],$G$2:$H$34,2)="x","SI","NO")</f>
        <v>NO</v>
      </c>
    </row>
    <row r="248" spans="1:4" x14ac:dyDescent="0.3">
      <c r="A248" t="str">
        <f>MID(Tabla1[[#This Row],[ENLACE]],FIND("~",SUBSTITUTE(Tabla1[[#This Row],[ENLACE]],"/","~",2))+1,LEN(Tabla1[[#This Row],[ENLACE]]))</f>
        <v>kotkan-tyovaen-palloilijat</v>
      </c>
      <c r="B248" s="5" t="s">
        <v>592</v>
      </c>
      <c r="C248" t="str">
        <f>_xlfn.TEXTBEFORE(_xlfn.TEXTAFTER(Tabla1[[#This Row],[ENLACE]],"/",1),"/")</f>
        <v>finland</v>
      </c>
      <c r="D248" s="8" t="str">
        <f ca="1">IF(VLOOKUP(Tabla1[[#This Row],[PAIS]],$G$2:$H$34,2)="x","SI","NO")</f>
        <v>NO</v>
      </c>
    </row>
    <row r="249" spans="1:4" x14ac:dyDescent="0.3">
      <c r="A249" t="str">
        <f>MID(Tabla1[[#This Row],[ENLACE]],FIND("~",SUBSTITUTE(Tabla1[[#This Row],[ENLACE]],"/","~",2))+1,LEN(Tabla1[[#This Row],[ENLACE]]))</f>
        <v>kuopion-palloseura</v>
      </c>
      <c r="B249" s="5" t="s">
        <v>593</v>
      </c>
      <c r="C249" t="str">
        <f>_xlfn.TEXTBEFORE(_xlfn.TEXTAFTER(Tabla1[[#This Row],[ENLACE]],"/",1),"/")</f>
        <v>finland</v>
      </c>
      <c r="D249" s="8" t="str">
        <f ca="1">IF(VLOOKUP(Tabla1[[#This Row],[PAIS]],$G$2:$H$34,2)="x","SI","NO")</f>
        <v>NO</v>
      </c>
    </row>
    <row r="250" spans="1:4" x14ac:dyDescent="0.3">
      <c r="A250" t="str">
        <f>MID(Tabla1[[#This Row],[ENLACE]],FIND("~",SUBSTITUTE(Tabla1[[#This Row],[ENLACE]],"/","~",2))+1,LEN(Tabla1[[#This Row],[ENLACE]]))</f>
        <v>ifk-mariehamn</v>
      </c>
      <c r="B250" s="5" t="s">
        <v>594</v>
      </c>
      <c r="C250" t="str">
        <f>_xlfn.TEXTBEFORE(_xlfn.TEXTAFTER(Tabla1[[#This Row],[ENLACE]],"/",1),"/")</f>
        <v>finland</v>
      </c>
      <c r="D250" s="8" t="str">
        <f ca="1">IF(VLOOKUP(Tabla1[[#This Row],[PAIS]],$G$2:$H$34,2)="x","SI","NO")</f>
        <v>NO</v>
      </c>
    </row>
    <row r="251" spans="1:4" x14ac:dyDescent="0.3">
      <c r="A251" t="str">
        <f>MID(Tabla1[[#This Row],[ENLACE]],FIND("~",SUBSTITUTE(Tabla1[[#This Row],[ENLACE]],"/","~",2))+1,LEN(Tabla1[[#This Row],[ENLACE]]))</f>
        <v>ac-oulu</v>
      </c>
      <c r="B251" s="5" t="s">
        <v>595</v>
      </c>
      <c r="C251" t="str">
        <f>_xlfn.TEXTBEFORE(_xlfn.TEXTAFTER(Tabla1[[#This Row],[ENLACE]],"/",1),"/")</f>
        <v>finland</v>
      </c>
      <c r="D251" s="8" t="str">
        <f ca="1">IF(VLOOKUP(Tabla1[[#This Row],[PAIS]],$G$2:$H$34,2)="x","SI","NO")</f>
        <v>NO</v>
      </c>
    </row>
    <row r="252" spans="1:4" x14ac:dyDescent="0.3">
      <c r="A252" t="str">
        <f>MID(Tabla1[[#This Row],[ENLACE]],FIND("~",SUBSTITUTE(Tabla1[[#This Row],[ENLACE]],"/","~",2))+1,LEN(Tabla1[[#This Row],[ENLACE]]))</f>
        <v>sjk</v>
      </c>
      <c r="B252" s="5" t="s">
        <v>596</v>
      </c>
      <c r="C252" t="str">
        <f>_xlfn.TEXTBEFORE(_xlfn.TEXTAFTER(Tabla1[[#This Row],[ENLACE]],"/",1),"/")</f>
        <v>finland</v>
      </c>
      <c r="D252" s="8" t="str">
        <f ca="1">IF(VLOOKUP(Tabla1[[#This Row],[PAIS]],$G$2:$H$34,2)="x","SI","NO")</f>
        <v>NO</v>
      </c>
    </row>
    <row r="253" spans="1:4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597</v>
      </c>
      <c r="C253" t="str">
        <f>_xlfn.TEXTBEFORE(_xlfn.TEXTAFTER(Tabla1[[#This Row],[ENLACE]],"/",1),"/")</f>
        <v>finland</v>
      </c>
      <c r="D253" s="8" t="str">
        <f ca="1">IF(VLOOKUP(Tabla1[[#This Row],[PAIS]],$G$2:$H$34,2)="x","SI","NO")</f>
        <v>NO</v>
      </c>
    </row>
    <row r="254" spans="1:4" x14ac:dyDescent="0.3">
      <c r="A254" t="str">
        <f>MID(Tabla1[[#This Row],[ENLACE]],FIND("~",SUBSTITUTE(Tabla1[[#This Row],[ENLACE]],"/","~",2))+1,LEN(Tabla1[[#This Row],[ENLACE]]))</f>
        <v>angers-sco</v>
      </c>
      <c r="B254" s="2" t="s">
        <v>242</v>
      </c>
      <c r="C254" t="str">
        <f>_xlfn.TEXTBEFORE(_xlfn.TEXTAFTER(Tabla1[[#This Row],[ENLACE]],"/",1),"/")</f>
        <v>france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aj-auxerre</v>
      </c>
      <c r="B255" s="5" t="s">
        <v>243</v>
      </c>
      <c r="C255" t="str">
        <f>_xlfn.TEXTBEFORE(_xlfn.TEXTAFTER(Tabla1[[#This Row],[ENLACE]],"/",1),"/")</f>
        <v>france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244</v>
      </c>
      <c r="C256" t="str">
        <f>_xlfn.TEXTBEFORE(_xlfn.TEXTAFTER(Tabla1[[#This Row],[ENLACE]],"/",1),"/")</f>
        <v>france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245</v>
      </c>
      <c r="C257" t="str">
        <f>_xlfn.TEXTBEFORE(_xlfn.TEXTAFTER(Tabla1[[#This Row],[ENLACE]],"/",1),"/")</f>
        <v>france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rc-lens</v>
      </c>
      <c r="B258" s="2" t="s">
        <v>246</v>
      </c>
      <c r="C258" t="str">
        <f>_xlfn.TEXTBEFORE(_xlfn.TEXTAFTER(Tabla1[[#This Row],[ENLACE]],"/",1),"/")</f>
        <v>france</v>
      </c>
      <c r="D258" s="8" t="str">
        <f ca="1">IF(VLOOKUP(Tabla1[[#This Row],[PAIS]],$G$2:$H$34,2)="x","SI","NO")</f>
        <v>SI</v>
      </c>
    </row>
    <row r="259" spans="1:4" x14ac:dyDescent="0.3">
      <c r="A259" t="str">
        <f>MID(Tabla1[[#This Row],[ENLACE]],FIND("~",SUBSTITUTE(Tabla1[[#This Row],[ENLACE]],"/","~",2))+1,LEN(Tabla1[[#This Row],[ENLACE]]))</f>
        <v>lille-osc</v>
      </c>
      <c r="B259" s="5" t="s">
        <v>247</v>
      </c>
      <c r="C259" t="str">
        <f>_xlfn.TEXTBEFORE(_xlfn.TEXTAFTER(Tabla1[[#This Row],[ENLACE]],"/",1),"/")</f>
        <v>france</v>
      </c>
      <c r="D259" s="8" t="str">
        <f ca="1">IF(VLOOKUP(Tabla1[[#This Row],[PAIS]],$G$2:$H$34,2)="x","SI","NO")</f>
        <v>SI</v>
      </c>
    </row>
    <row r="260" spans="1:4" x14ac:dyDescent="0.3">
      <c r="A260" t="str">
        <f>MID(Tabla1[[#This Row],[ENLACE]],FIND("~",SUBSTITUTE(Tabla1[[#This Row],[ENLACE]],"/","~",2))+1,LEN(Tabla1[[#This Row],[ENLACE]]))</f>
        <v>fc-lorient</v>
      </c>
      <c r="B260" s="2" t="s">
        <v>537</v>
      </c>
      <c r="C260" t="str">
        <f>_xlfn.TEXTBEFORE(_xlfn.TEXTAFTER(Tabla1[[#This Row],[ENLACE]],"/",1),"/")</f>
        <v>france</v>
      </c>
      <c r="D260" s="8" t="str">
        <f ca="1">IF(VLOOKUP(Tabla1[[#This Row],[PAIS]],$G$2:$H$34,2)="x","SI","NO")</f>
        <v>SI</v>
      </c>
    </row>
    <row r="261" spans="1:4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248</v>
      </c>
      <c r="C261" t="str">
        <f>_xlfn.TEXTBEFORE(_xlfn.TEXTAFTER(Tabla1[[#This Row],[ENLACE]],"/",1),"/")</f>
        <v>france</v>
      </c>
      <c r="D261" s="8" t="str">
        <f ca="1">IF(VLOOKUP(Tabla1[[#This Row],[PAIS]],$G$2:$H$34,2)="x","SI","NO")</f>
        <v>SI</v>
      </c>
    </row>
    <row r="262" spans="1:4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249</v>
      </c>
      <c r="C262" t="str">
        <f>_xlfn.TEXTBEFORE(_xlfn.TEXTAFTER(Tabla1[[#This Row],[ENLACE]],"/",1),"/")</f>
        <v>france</v>
      </c>
      <c r="D262" s="8" t="str">
        <f ca="1">IF(VLOOKUP(Tabla1[[#This Row],[PAIS]],$G$2:$H$34,2)="x","SI","NO")</f>
        <v>SI</v>
      </c>
    </row>
    <row r="263" spans="1:4" x14ac:dyDescent="0.3">
      <c r="A263" t="str">
        <f>MID(Tabla1[[#This Row],[ENLACE]],FIND("~",SUBSTITUTE(Tabla1[[#This Row],[ENLACE]],"/","~",2))+1,LEN(Tabla1[[#This Row],[ENLACE]]))</f>
        <v>fc-metz</v>
      </c>
      <c r="B263" s="5" t="s">
        <v>538</v>
      </c>
      <c r="C263" t="str">
        <f>_xlfn.TEXTBEFORE(_xlfn.TEXTAFTER(Tabla1[[#This Row],[ENLACE]],"/",1),"/")</f>
        <v>france</v>
      </c>
      <c r="D263" s="8" t="str">
        <f ca="1">IF(VLOOKUP(Tabla1[[#This Row],[PAIS]],$G$2:$H$34,2)="x","SI","NO")</f>
        <v>SI</v>
      </c>
    </row>
    <row r="264" spans="1:4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250</v>
      </c>
      <c r="C264" t="str">
        <f>_xlfn.TEXTBEFORE(_xlfn.TEXTAFTER(Tabla1[[#This Row],[ENLACE]],"/",1),"/")</f>
        <v>france</v>
      </c>
      <c r="D264" s="8" t="str">
        <f ca="1">IF(VLOOKUP(Tabla1[[#This Row],[PAIS]],$G$2:$H$34,2)="x","SI","NO")</f>
        <v>SI</v>
      </c>
    </row>
    <row r="265" spans="1:4" x14ac:dyDescent="0.3">
      <c r="A265" t="str">
        <f>MID(Tabla1[[#This Row],[ENLACE]],FIND("~",SUBSTITUTE(Tabla1[[#This Row],[ENLACE]],"/","~",2))+1,LEN(Tabla1[[#This Row],[ENLACE]]))</f>
        <v>fc-nantes</v>
      </c>
      <c r="B265" s="5" t="s">
        <v>251</v>
      </c>
      <c r="C265" t="str">
        <f>_xlfn.TEXTBEFORE(_xlfn.TEXTAFTER(Tabla1[[#This Row],[ENLACE]],"/",1),"/")</f>
        <v>france</v>
      </c>
      <c r="D265" s="8" t="str">
        <f ca="1">IF(VLOOKUP(Tabla1[[#This Row],[PAIS]],$G$2:$H$34,2)="x","SI","NO")</f>
        <v>SI</v>
      </c>
    </row>
    <row r="266" spans="1:4" x14ac:dyDescent="0.3">
      <c r="A266" t="str">
        <f>MID(Tabla1[[#This Row],[ENLACE]],FIND("~",SUBSTITUTE(Tabla1[[#This Row],[ENLACE]],"/","~",2))+1,LEN(Tabla1[[#This Row],[ENLACE]]))</f>
        <v>ogc-nice</v>
      </c>
      <c r="B266" s="2" t="s">
        <v>252</v>
      </c>
      <c r="C266" t="str">
        <f>_xlfn.TEXTBEFORE(_xlfn.TEXTAFTER(Tabla1[[#This Row],[ENLACE]],"/",1),"/")</f>
        <v>france</v>
      </c>
      <c r="D266" s="8" t="str">
        <f ca="1">IF(VLOOKUP(Tabla1[[#This Row],[PAIS]],$G$2:$H$34,2)="x","SI","NO")</f>
        <v>SI</v>
      </c>
    </row>
    <row r="267" spans="1:4" x14ac:dyDescent="0.3">
      <c r="A267" t="str">
        <f>MID(Tabla1[[#This Row],[ENLACE]],FIND("~",SUBSTITUTE(Tabla1[[#This Row],[ENLACE]],"/","~",2))+1,LEN(Tabla1[[#This Row],[ENLACE]]))</f>
        <v>paris-fc</v>
      </c>
      <c r="B267" s="5" t="s">
        <v>539</v>
      </c>
      <c r="C267" t="str">
        <f>_xlfn.TEXTBEFORE(_xlfn.TEXTAFTER(Tabla1[[#This Row],[ENLACE]],"/",1),"/")</f>
        <v>france</v>
      </c>
      <c r="D267" s="8" t="str">
        <f ca="1">IF(VLOOKUP(Tabla1[[#This Row],[PAIS]],$G$2:$H$34,2)="x","SI","NO")</f>
        <v>SI</v>
      </c>
    </row>
    <row r="268" spans="1:4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253</v>
      </c>
      <c r="C268" t="str">
        <f>_xlfn.TEXTBEFORE(_xlfn.TEXTAFTER(Tabla1[[#This Row],[ENLACE]],"/",1),"/")</f>
        <v>france</v>
      </c>
      <c r="D268" s="8" t="str">
        <f ca="1">IF(VLOOKUP(Tabla1[[#This Row],[PAIS]],$G$2:$H$34,2)="x","SI","NO")</f>
        <v>SI</v>
      </c>
    </row>
    <row r="269" spans="1:4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254</v>
      </c>
      <c r="C269" t="str">
        <f>_xlfn.TEXTBEFORE(_xlfn.TEXTAFTER(Tabla1[[#This Row],[ENLACE]],"/",1),"/")</f>
        <v>france</v>
      </c>
      <c r="D269" s="8" t="str">
        <f ca="1">IF(VLOOKUP(Tabla1[[#This Row],[PAIS]],$G$2:$H$34,2)="x","SI","NO")</f>
        <v>SI</v>
      </c>
    </row>
    <row r="270" spans="1:4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255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256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fc-koln</v>
      </c>
      <c r="B294" s="2" t="s">
        <v>532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533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257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258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259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260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261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262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263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264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265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266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267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268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269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270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271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schalke-04</v>
      </c>
      <c r="B325" s="5" t="s">
        <v>272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543</v>
      </c>
      <c r="C326" t="str">
        <f>_xlfn.TEXTBEFORE(_xlfn.TEXTAFTER(Tabla1[[#This Row],[ENLACE]],"/",1),"/")</f>
        <v>greece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ael-fc</v>
      </c>
      <c r="B327" s="5" t="s">
        <v>544</v>
      </c>
      <c r="C327" t="str">
        <f>_xlfn.TEXTBEFORE(_xlfn.TEXTAFTER(Tabla1[[#This Row],[ENLACE]],"/",1),"/")</f>
        <v>greece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545</v>
      </c>
      <c r="C328" t="str">
        <f>_xlfn.TEXTBEFORE(_xlfn.TEXTAFTER(Tabla1[[#This Row],[ENLACE]],"/",1),"/")</f>
        <v>greece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546</v>
      </c>
      <c r="C329" t="str">
        <f>_xlfn.TEXTBEFORE(_xlfn.TEXTAFTER(Tabla1[[#This Row],[ENLACE]],"/",1),"/")</f>
        <v>greece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547</v>
      </c>
      <c r="C330" t="str">
        <f>_xlfn.TEXTBEFORE(_xlfn.TEXTAFTER(Tabla1[[#This Row],[ENLACE]],"/",1),"/")</f>
        <v>greece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548</v>
      </c>
      <c r="C331" t="str">
        <f>_xlfn.TEXTBEFORE(_xlfn.TEXTAFTER(Tabla1[[#This Row],[ENLACE]],"/",1),"/")</f>
        <v>greece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549</v>
      </c>
      <c r="C332" t="str">
        <f>_xlfn.TEXTBEFORE(_xlfn.TEXTAFTER(Tabla1[[#This Row],[ENLACE]],"/",1),"/")</f>
        <v>greece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550</v>
      </c>
      <c r="C333" t="str">
        <f>_xlfn.TEXTBEFORE(_xlfn.TEXTAFTER(Tabla1[[#This Row],[ENLACE]],"/",1),"/")</f>
        <v>greece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551</v>
      </c>
      <c r="C334" t="str">
        <f>_xlfn.TEXTBEFORE(_xlfn.TEXTAFTER(Tabla1[[#This Row],[ENLACE]],"/",1),"/")</f>
        <v>greece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552</v>
      </c>
      <c r="C335" t="str">
        <f>_xlfn.TEXTBEFORE(_xlfn.TEXTAFTER(Tabla1[[#This Row],[ENLACE]],"/",1),"/")</f>
        <v>greece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553</v>
      </c>
      <c r="C336" t="str">
        <f>_xlfn.TEXTBEFORE(_xlfn.TEXTAFTER(Tabla1[[#This Row],[ENLACE]],"/",1),"/")</f>
        <v>greece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554</v>
      </c>
      <c r="C337" t="str">
        <f>_xlfn.TEXTBEFORE(_xlfn.TEXTAFTER(Tabla1[[#This Row],[ENLACE]],"/",1),"/")</f>
        <v>greece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paok-fc</v>
      </c>
      <c r="B338" s="5" t="s">
        <v>555</v>
      </c>
      <c r="C338" t="str">
        <f>_xlfn.TEXTBEFORE(_xlfn.TEXTAFTER(Tabla1[[#This Row],[ENLACE]],"/",1),"/")</f>
        <v>greece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volos-fc</v>
      </c>
      <c r="B339" s="5" t="s">
        <v>556</v>
      </c>
      <c r="C339" t="str">
        <f>_xlfn.TEXTBEFORE(_xlfn.TEXTAFTER(Tabla1[[#This Row],[ENLACE]],"/",1),"/")</f>
        <v>greece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ac-milan</v>
      </c>
      <c r="B340" s="2" t="s">
        <v>273</v>
      </c>
      <c r="C340" t="str">
        <f>_xlfn.TEXTBEFORE(_xlfn.TEXTAFTER(Tabla1[[#This Row],[ENLACE]],"/",1),"/")</f>
        <v>italy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as-roma</v>
      </c>
      <c r="B341" s="5" t="s">
        <v>274</v>
      </c>
      <c r="C341" t="str">
        <f>_xlfn.TEXTBEFORE(_xlfn.TEXTAFTER(Tabla1[[#This Row],[ENLACE]],"/",1),"/")</f>
        <v>italy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275</v>
      </c>
      <c r="C342" t="str">
        <f>_xlfn.TEXTBEFORE(_xlfn.TEXTAFTER(Tabla1[[#This Row],[ENLACE]],"/",1),"/")</f>
        <v>italy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276</v>
      </c>
      <c r="C343" t="str">
        <f>_xlfn.TEXTBEFORE(_xlfn.TEXTAFTER(Tabla1[[#This Row],[ENLACE]],"/",1),"/")</f>
        <v>italy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277</v>
      </c>
      <c r="C344" t="str">
        <f>_xlfn.TEXTBEFORE(_xlfn.TEXTAFTER(Tabla1[[#This Row],[ENLACE]],"/",1),"/")</f>
        <v>italy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como-1907</v>
      </c>
      <c r="B345" s="5" t="s">
        <v>278</v>
      </c>
      <c r="C345" t="str">
        <f>_xlfn.TEXTBEFORE(_xlfn.TEXTAFTER(Tabla1[[#This Row],[ENLACE]],"/",1),"/")</f>
        <v>italy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534</v>
      </c>
      <c r="C346" t="str">
        <f>_xlfn.TEXTBEFORE(_xlfn.TEXTAFTER(Tabla1[[#This Row],[ENLACE]],"/",1),"/")</f>
        <v>italy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279</v>
      </c>
      <c r="C347" t="str">
        <f>_xlfn.TEXTBEFORE(_xlfn.TEXTAFTER(Tabla1[[#This Row],[ENLACE]],"/",1),"/")</f>
        <v>italy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genoa-cfc</v>
      </c>
      <c r="B348" s="2" t="s">
        <v>280</v>
      </c>
      <c r="C348" t="str">
        <f>_xlfn.TEXTBEFORE(_xlfn.TEXTAFTER(Tabla1[[#This Row],[ENLACE]],"/",1),"/")</f>
        <v>italy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281</v>
      </c>
      <c r="C349" t="str">
        <f>_xlfn.TEXTBEFORE(_xlfn.TEXTAFTER(Tabla1[[#This Row],[ENLACE]],"/",1),"/")</f>
        <v>italy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282</v>
      </c>
      <c r="C350" t="str">
        <f>_xlfn.TEXTBEFORE(_xlfn.TEXTAFTER(Tabla1[[#This Row],[ENLACE]],"/",1),"/")</f>
        <v>italy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ss-lazio</v>
      </c>
      <c r="B351" s="5" t="s">
        <v>283</v>
      </c>
      <c r="C351" t="str">
        <f>_xlfn.TEXTBEFORE(_xlfn.TEXTAFTER(Tabla1[[#This Row],[ENLACE]],"/",1),"/")</f>
        <v>italy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us-lecce</v>
      </c>
      <c r="B352" s="2" t="s">
        <v>284</v>
      </c>
      <c r="C352" t="str">
        <f>_xlfn.TEXTBEFORE(_xlfn.TEXTAFTER(Tabla1[[#This Row],[ENLACE]],"/",1),"/")</f>
        <v>italy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ssc-napoli</v>
      </c>
      <c r="B353" s="5" t="s">
        <v>285</v>
      </c>
      <c r="C353" t="str">
        <f>_xlfn.TEXTBEFORE(_xlfn.TEXTAFTER(Tabla1[[#This Row],[ENLACE]],"/",1),"/")</f>
        <v>italy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286</v>
      </c>
      <c r="C354" t="str">
        <f>_xlfn.TEXTBEFORE(_xlfn.TEXTAFTER(Tabla1[[#This Row],[ENLACE]],"/",1),"/")</f>
        <v>italy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535</v>
      </c>
      <c r="C355" t="str">
        <f>_xlfn.TEXTBEFORE(_xlfn.TEXTAFTER(Tabla1[[#This Row],[ENLACE]],"/",1),"/")</f>
        <v>italy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536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torino-fc</v>
      </c>
      <c r="B357" s="5" t="s">
        <v>287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288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289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290</v>
      </c>
      <c r="C360" t="str">
        <f>_xlfn.TEXTBEFORE(_xlfn.TEXTAFTER(Tabla1[[#This Row],[ENLACE]],"/",1),"/")</f>
        <v>mexico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atlas-fc</v>
      </c>
      <c r="B361" s="5" t="s">
        <v>291</v>
      </c>
      <c r="C361" t="str">
        <f>_xlfn.TEXTBEFORE(_xlfn.TEXTAFTER(Tabla1[[#This Row],[ENLACE]],"/",1),"/")</f>
        <v>mexico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292</v>
      </c>
      <c r="C362" t="str">
        <f>_xlfn.TEXTBEFORE(_xlfn.TEXTAFTER(Tabla1[[#This Row],[ENLACE]],"/",1),"/")</f>
        <v>mexico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cruz-azul</v>
      </c>
      <c r="B363" s="5" t="s">
        <v>293</v>
      </c>
      <c r="C363" t="str">
        <f>_xlfn.TEXTBEFORE(_xlfn.TEXTAFTER(Tabla1[[#This Row],[ENLACE]],"/",1),"/")</f>
        <v>mexico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294</v>
      </c>
      <c r="C364" t="str">
        <f>_xlfn.TEXTBEFORE(_xlfn.TEXTAFTER(Tabla1[[#This Row],[ENLACE]],"/",1),"/")</f>
        <v>mexico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fc-juarez</v>
      </c>
      <c r="B365" s="5" t="s">
        <v>295</v>
      </c>
      <c r="C365" t="str">
        <f>_xlfn.TEXTBEFORE(_xlfn.TEXTAFTER(Tabla1[[#This Row],[ENLACE]],"/",1),"/")</f>
        <v>mexico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club-leon</v>
      </c>
      <c r="B366" s="2" t="s">
        <v>296</v>
      </c>
      <c r="C366" t="str">
        <f>_xlfn.TEXTBEFORE(_xlfn.TEXTAFTER(Tabla1[[#This Row],[ENLACE]],"/",1),"/")</f>
        <v>mexico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297</v>
      </c>
      <c r="C367" t="str">
        <f>_xlfn.TEXTBEFORE(_xlfn.TEXTAFTER(Tabla1[[#This Row],[ENLACE]],"/",1),"/")</f>
        <v>mexico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cf-monterrey</v>
      </c>
      <c r="B368" s="2" t="s">
        <v>298</v>
      </c>
      <c r="C368" t="str">
        <f>_xlfn.TEXTBEFORE(_xlfn.TEXTAFTER(Tabla1[[#This Row],[ENLACE]],"/",1),"/")</f>
        <v>mexico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club-necaxa</v>
      </c>
      <c r="B369" s="5" t="s">
        <v>299</v>
      </c>
      <c r="C369" t="str">
        <f>_xlfn.TEXTBEFORE(_xlfn.TEXTAFTER(Tabla1[[#This Row],[ENLACE]],"/",1),"/")</f>
        <v>mexico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cf-pachuca</v>
      </c>
      <c r="B370" s="2" t="s">
        <v>300</v>
      </c>
      <c r="C370" t="str">
        <f>_xlfn.TEXTBEFORE(_xlfn.TEXTAFTER(Tabla1[[#This Row],[ENLACE]],"/",1),"/")</f>
        <v>mexico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301</v>
      </c>
      <c r="C371" t="str">
        <f>_xlfn.TEXTBEFORE(_xlfn.TEXTAFTER(Tabla1[[#This Row],[ENLACE]],"/",1),"/")</f>
        <v>mexico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302</v>
      </c>
      <c r="C372" t="str">
        <f>_xlfn.TEXTBEFORE(_xlfn.TEXTAFTER(Tabla1[[#This Row],[ENLACE]],"/",1),"/")</f>
        <v>mexico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303</v>
      </c>
      <c r="C373" t="str">
        <f>_xlfn.TEXTBEFORE(_xlfn.TEXTAFTER(Tabla1[[#This Row],[ENLACE]],"/",1),"/")</f>
        <v>mexico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304</v>
      </c>
      <c r="C374" t="str">
        <f>_xlfn.TEXTBEFORE(_xlfn.TEXTAFTER(Tabla1[[#This Row],[ENLACE]],"/",1),"/")</f>
        <v>mexico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305</v>
      </c>
      <c r="C375" t="str">
        <f>_xlfn.TEXTBEFORE(_xlfn.TEXTAFTER(Tabla1[[#This Row],[ENLACE]],"/",1),"/")</f>
        <v>mexico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306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unam</v>
      </c>
      <c r="B377" s="5" t="s">
        <v>307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afc-ajax</v>
      </c>
      <c r="B378" s="2" t="s">
        <v>308</v>
      </c>
      <c r="C378" t="str">
        <f>_xlfn.TEXTBEFORE(_xlfn.TEXTAFTER(Tabla1[[#This Row],[ENLACE]],"/",1),"/")</f>
        <v>netherlands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az-alkmaar</v>
      </c>
      <c r="B379" s="5" t="s">
        <v>309</v>
      </c>
      <c r="C379" t="str">
        <f>_xlfn.TEXTBEFORE(_xlfn.TEXTAFTER(Tabla1[[#This Row],[ENLACE]],"/",1),"/")</f>
        <v>netherlands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310</v>
      </c>
      <c r="C380" t="str">
        <f>_xlfn.TEXTBEFORE(_xlfn.TEXTAFTER(Tabla1[[#This Row],[ENLACE]],"/",1),"/")</f>
        <v>netherlands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311</v>
      </c>
      <c r="C381" t="str">
        <f>_xlfn.TEXTBEFORE(_xlfn.TEXTAFTER(Tabla1[[#This Row],[ENLACE]],"/",1),"/")</f>
        <v>netherlands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312</v>
      </c>
      <c r="C382" t="str">
        <f>_xlfn.TEXTBEFORE(_xlfn.TEXTAFTER(Tabla1[[#This Row],[ENLACE]],"/",1),"/")</f>
        <v>netherlands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313</v>
      </c>
      <c r="C383" t="str">
        <f>_xlfn.TEXTBEFORE(_xlfn.TEXTAFTER(Tabla1[[#This Row],[ENLACE]],"/",1),"/")</f>
        <v>netherlands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314</v>
      </c>
      <c r="C384" t="str">
        <f>_xlfn.TEXTBEFORE(_xlfn.TEXTAFTER(Tabla1[[#This Row],[ENLACE]],"/",1),"/")</f>
        <v>netherlands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315</v>
      </c>
      <c r="C385" t="str">
        <f>_xlfn.TEXTBEFORE(_xlfn.TEXTAFTER(Tabla1[[#This Row],[ENLACE]],"/",1),"/")</f>
        <v>netherlands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316</v>
      </c>
      <c r="C386" t="str">
        <f>_xlfn.TEXTBEFORE(_xlfn.TEXTAFTER(Tabla1[[#This Row],[ENLACE]],"/",1),"/")</f>
        <v>netherlands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nac-breda</v>
      </c>
      <c r="B387" s="5" t="s">
        <v>317</v>
      </c>
      <c r="C387" t="str">
        <f>_xlfn.TEXTBEFORE(_xlfn.TEXTAFTER(Tabla1[[#This Row],[ENLACE]],"/",1),"/")</f>
        <v>netherlands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318</v>
      </c>
      <c r="C388" t="str">
        <f>_xlfn.TEXTBEFORE(_xlfn.TEXTAFTER(Tabla1[[#This Row],[ENLACE]],"/",1),"/")</f>
        <v>netherlands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319</v>
      </c>
      <c r="C389" t="str">
        <f>_xlfn.TEXTBEFORE(_xlfn.TEXTAFTER(Tabla1[[#This Row],[ENLACE]],"/",1),"/")</f>
        <v>netherlands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320</v>
      </c>
      <c r="C390" t="str">
        <f>_xlfn.TEXTBEFORE(_xlfn.TEXTAFTER(Tabla1[[#This Row],[ENLACE]],"/",1),"/")</f>
        <v>netherlands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321</v>
      </c>
      <c r="C391" t="str">
        <f>_xlfn.TEXTBEFORE(_xlfn.TEXTAFTER(Tabla1[[#This Row],[ENLACE]],"/",1),"/")</f>
        <v>netherlands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sc-telstar</v>
      </c>
      <c r="B392" s="2" t="s">
        <v>322</v>
      </c>
      <c r="C392" t="str">
        <f>_xlfn.TEXTBEFORE(_xlfn.TEXTAFTER(Tabla1[[#This Row],[ENLACE]],"/",1),"/")</f>
        <v>netherlands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fc-twente</v>
      </c>
      <c r="B393" s="5" t="s">
        <v>323</v>
      </c>
      <c r="C393" t="str">
        <f>_xlfn.TEXTBEFORE(_xlfn.TEXTAFTER(Tabla1[[#This Row],[ENLACE]],"/",1),"/")</f>
        <v>netherlands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fc-utrecht</v>
      </c>
      <c r="B394" s="2" t="s">
        <v>324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pec-zwolle</v>
      </c>
      <c r="B395" s="5" t="s">
        <v>325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326</v>
      </c>
      <c r="C396" t="str">
        <f>_xlfn.TEXTBEFORE(_xlfn.TEXTAFTER(Tabla1[[#This Row],[ENLACE]],"/",1),"/")</f>
        <v>norway</v>
      </c>
      <c r="D396" s="8" t="str">
        <f ca="1">IF(VLOOKUP(Tabla1[[#This Row],[PAIS]],$G$2:$H$34,2)="x","SI","NO")</f>
        <v>NO</v>
      </c>
    </row>
    <row r="397" spans="1:4" x14ac:dyDescent="0.3">
      <c r="A397" t="str">
        <f>MID(Tabla1[[#This Row],[ENLACE]],FIND("~",SUBSTITUTE(Tabla1[[#This Row],[ENLACE]],"/","~",2))+1,LEN(Tabla1[[#This Row],[ENLACE]]))</f>
        <v>sk-brann</v>
      </c>
      <c r="B397" s="5" t="s">
        <v>327</v>
      </c>
      <c r="C397" t="str">
        <f>_xlfn.TEXTBEFORE(_xlfn.TEXTAFTER(Tabla1[[#This Row],[ENLACE]],"/",1),"/")</f>
        <v>norway</v>
      </c>
      <c r="D397" s="8" t="str">
        <f ca="1">IF(VLOOKUP(Tabla1[[#This Row],[PAIS]],$G$2:$H$34,2)="x","SI","NO")</f>
        <v>NO</v>
      </c>
    </row>
    <row r="398" spans="1:4" x14ac:dyDescent="0.3">
      <c r="A398" t="str">
        <f>MID(Tabla1[[#This Row],[ENLACE]],FIND("~",SUBSTITUTE(Tabla1[[#This Row],[ENLACE]],"/","~",2))+1,LEN(Tabla1[[#This Row],[ENLACE]]))</f>
        <v>bryne-fk</v>
      </c>
      <c r="B398" s="2" t="s">
        <v>328</v>
      </c>
      <c r="C398" t="str">
        <f>_xlfn.TEXTBEFORE(_xlfn.TEXTAFTER(Tabla1[[#This Row],[ENLACE]],"/",1),"/")</f>
        <v>norway</v>
      </c>
      <c r="D398" s="8" t="str">
        <f ca="1">IF(VLOOKUP(Tabla1[[#This Row],[PAIS]],$G$2:$H$34,2)="x","SI","NO")</f>
        <v>NO</v>
      </c>
    </row>
    <row r="399" spans="1:4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329</v>
      </c>
      <c r="C399" t="str">
        <f>_xlfn.TEXTBEFORE(_xlfn.TEXTAFTER(Tabla1[[#This Row],[ENLACE]],"/",1),"/")</f>
        <v>norway</v>
      </c>
      <c r="D399" s="8" t="str">
        <f ca="1">IF(VLOOKUP(Tabla1[[#This Row],[PAIS]],$G$2:$H$34,2)="x","SI","NO")</f>
        <v>NO</v>
      </c>
    </row>
    <row r="400" spans="1:4" x14ac:dyDescent="0.3">
      <c r="A400" t="str">
        <f>MID(Tabla1[[#This Row],[ENLACE]],FIND("~",SUBSTITUTE(Tabla1[[#This Row],[ENLACE]],"/","~",2))+1,LEN(Tabla1[[#This Row],[ENLACE]]))</f>
        <v>ham-kam</v>
      </c>
      <c r="B400" s="2" t="s">
        <v>330</v>
      </c>
      <c r="C400" t="str">
        <f>_xlfn.TEXTBEFORE(_xlfn.TEXTAFTER(Tabla1[[#This Row],[ENLACE]],"/",1),"/")</f>
        <v>norway</v>
      </c>
      <c r="D400" s="8" t="str">
        <f ca="1">IF(VLOOKUP(Tabla1[[#This Row],[PAIS]],$G$2:$H$34,2)="x","SI","NO")</f>
        <v>NO</v>
      </c>
    </row>
    <row r="401" spans="1:4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331</v>
      </c>
      <c r="C401" t="str">
        <f>_xlfn.TEXTBEFORE(_xlfn.TEXTAFTER(Tabla1[[#This Row],[ENLACE]],"/",1),"/")</f>
        <v>norway</v>
      </c>
      <c r="D401" s="8" t="str">
        <f ca="1">IF(VLOOKUP(Tabla1[[#This Row],[PAIS]],$G$2:$H$34,2)="x","SI","NO")</f>
        <v>NO</v>
      </c>
    </row>
    <row r="402" spans="1:4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332</v>
      </c>
      <c r="C402" t="str">
        <f>_xlfn.TEXTBEFORE(_xlfn.TEXTAFTER(Tabla1[[#This Row],[ENLACE]],"/",1),"/")</f>
        <v>norway</v>
      </c>
      <c r="D402" s="8" t="str">
        <f ca="1">IF(VLOOKUP(Tabla1[[#This Row],[PAIS]],$G$2:$H$34,2)="x","SI","NO")</f>
        <v>NO</v>
      </c>
    </row>
    <row r="403" spans="1:4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333</v>
      </c>
      <c r="C403" t="str">
        <f>_xlfn.TEXTBEFORE(_xlfn.TEXTAFTER(Tabla1[[#This Row],[ENLACE]],"/",1),"/")</f>
        <v>norway</v>
      </c>
      <c r="D403" s="8" t="str">
        <f ca="1">IF(VLOOKUP(Tabla1[[#This Row],[PAIS]],$G$2:$H$34,2)="x","SI","NO")</f>
        <v>NO</v>
      </c>
    </row>
    <row r="404" spans="1:4" x14ac:dyDescent="0.3">
      <c r="A404" t="str">
        <f>MID(Tabla1[[#This Row],[ENLACE]],FIND("~",SUBSTITUTE(Tabla1[[#This Row],[ENLACE]],"/","~",2))+1,LEN(Tabla1[[#This Row],[ENLACE]]))</f>
        <v>molde-fk</v>
      </c>
      <c r="B404" s="2" t="s">
        <v>334</v>
      </c>
      <c r="C404" t="str">
        <f>_xlfn.TEXTBEFORE(_xlfn.TEXTAFTER(Tabla1[[#This Row],[ENLACE]],"/",1),"/")</f>
        <v>norway</v>
      </c>
      <c r="D404" s="8" t="str">
        <f ca="1">IF(VLOOKUP(Tabla1[[#This Row],[PAIS]],$G$2:$H$34,2)="x","SI","NO")</f>
        <v>NO</v>
      </c>
    </row>
    <row r="405" spans="1:4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335</v>
      </c>
      <c r="C405" t="str">
        <f>_xlfn.TEXTBEFORE(_xlfn.TEXTAFTER(Tabla1[[#This Row],[ENLACE]],"/",1),"/")</f>
        <v>norway</v>
      </c>
      <c r="D405" s="8" t="str">
        <f ca="1">IF(VLOOKUP(Tabla1[[#This Row],[PAIS]],$G$2:$H$34,2)="x","SI","NO")</f>
        <v>NO</v>
      </c>
    </row>
    <row r="406" spans="1:4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336</v>
      </c>
      <c r="C406" t="str">
        <f>_xlfn.TEXTBEFORE(_xlfn.TEXTAFTER(Tabla1[[#This Row],[ENLACE]],"/",1),"/")</f>
        <v>norway</v>
      </c>
      <c r="D406" s="8" t="str">
        <f ca="1">IF(VLOOKUP(Tabla1[[#This Row],[PAIS]],$G$2:$H$34,2)="x","SI","NO")</f>
        <v>NO</v>
      </c>
    </row>
    <row r="407" spans="1:4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337</v>
      </c>
      <c r="C407" t="str">
        <f>_xlfn.TEXTBEFORE(_xlfn.TEXTAFTER(Tabla1[[#This Row],[ENLACE]],"/",1),"/")</f>
        <v>norway</v>
      </c>
      <c r="D407" s="8" t="str">
        <f ca="1">IF(VLOOKUP(Tabla1[[#This Row],[PAIS]],$G$2:$H$34,2)="x","SI","NO")</f>
        <v>NO</v>
      </c>
    </row>
    <row r="408" spans="1:4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338</v>
      </c>
      <c r="C408" t="str">
        <f>_xlfn.TEXTBEFORE(_xlfn.TEXTAFTER(Tabla1[[#This Row],[ENLACE]],"/",1),"/")</f>
        <v>norway</v>
      </c>
      <c r="D408" s="8" t="str">
        <f ca="1">IF(VLOOKUP(Tabla1[[#This Row],[PAIS]],$G$2:$H$34,2)="x","SI","NO")</f>
        <v>NO</v>
      </c>
    </row>
    <row r="409" spans="1:4" x14ac:dyDescent="0.3">
      <c r="A409" t="str">
        <f>MID(Tabla1[[#This Row],[ENLACE]],FIND("~",SUBSTITUTE(Tabla1[[#This Row],[ENLACE]],"/","~",2))+1,LEN(Tabla1[[#This Row],[ENLACE]]))</f>
        <v>tromso-il</v>
      </c>
      <c r="B409" s="5" t="s">
        <v>339</v>
      </c>
      <c r="C409" t="str">
        <f>_xlfn.TEXTBEFORE(_xlfn.TEXTAFTER(Tabla1[[#This Row],[ENLACE]],"/",1),"/")</f>
        <v>norway</v>
      </c>
      <c r="D409" s="8" t="str">
        <f ca="1">IF(VLOOKUP(Tabla1[[#This Row],[PAIS]],$G$2:$H$34,2)="x","SI","NO")</f>
        <v>NO</v>
      </c>
    </row>
    <row r="410" spans="1:4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340</v>
      </c>
      <c r="C410" t="str">
        <f>_xlfn.TEXTBEFORE(_xlfn.TEXTAFTER(Tabla1[[#This Row],[ENLACE]],"/",1),"/")</f>
        <v>norway</v>
      </c>
      <c r="D410" s="8" t="str">
        <f ca="1">IF(VLOOKUP(Tabla1[[#This Row],[PAIS]],$G$2:$H$34,2)="x","SI","NO")</f>
        <v>NO</v>
      </c>
    </row>
    <row r="411" spans="1:4" x14ac:dyDescent="0.3">
      <c r="A411" t="str">
        <f>MID(Tabla1[[#This Row],[ENLACE]],FIND("~",SUBSTITUTE(Tabla1[[#This Row],[ENLACE]],"/","~",2))+1,LEN(Tabla1[[#This Row],[ENLACE]]))</f>
        <v>viking-fk</v>
      </c>
      <c r="B411" s="5" t="s">
        <v>341</v>
      </c>
      <c r="C411" t="str">
        <f>_xlfn.TEXTBEFORE(_xlfn.TEXTAFTER(Tabla1[[#This Row],[ENLACE]],"/",1),"/")</f>
        <v>norway</v>
      </c>
      <c r="D411" s="8" t="str">
        <f ca="1">IF(VLOOKUP(Tabla1[[#This Row],[PAIS]],$G$2:$H$34,2)="x","SI","NO")</f>
        <v>NO</v>
      </c>
    </row>
    <row r="412" spans="1:4" x14ac:dyDescent="0.3">
      <c r="A412" t="str">
        <f>MID(Tabla1[[#This Row],[ENLACE]],FIND("~",SUBSTITUTE(Tabla1[[#This Row],[ENLACE]],"/","~",2))+1,LEN(Tabla1[[#This Row],[ENLACE]]))</f>
        <v>alianza-lima</v>
      </c>
      <c r="B412" t="s">
        <v>342</v>
      </c>
      <c r="C412" t="str">
        <f>_xlfn.TEXTBEFORE(_xlfn.TEXTAFTER(Tabla1[[#This Row],[ENLACE]],"/",1),"/")</f>
        <v>peru</v>
      </c>
      <c r="D412" s="8" t="str">
        <f ca="1">IF(VLOOKUP(Tabla1[[#This Row],[PAIS]],$G$2:$H$34,2)="x","SI","NO")</f>
        <v>SI</v>
      </c>
    </row>
    <row r="413" spans="1:4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343</v>
      </c>
      <c r="C413" t="str">
        <f>_xlfn.TEXTBEFORE(_xlfn.TEXTAFTER(Tabla1[[#This Row],[ENLACE]],"/",1),"/")</f>
        <v>peru</v>
      </c>
      <c r="D413" s="8" t="str">
        <f ca="1">IF(VLOOKUP(Tabla1[[#This Row],[PAIS]],$G$2:$H$34,2)="x","SI","NO")</f>
        <v>SI</v>
      </c>
    </row>
    <row r="414" spans="1:4" x14ac:dyDescent="0.3">
      <c r="A414" t="str">
        <f>MID(Tabla1[[#This Row],[ENLACE]],FIND("~",SUBSTITUTE(Tabla1[[#This Row],[ENLACE]],"/","~",2))+1,LEN(Tabla1[[#This Row],[ENLACE]]))</f>
        <v>alianza-atletico</v>
      </c>
      <c r="B414" t="s">
        <v>344</v>
      </c>
      <c r="C414" t="str">
        <f>_xlfn.TEXTBEFORE(_xlfn.TEXTAFTER(Tabla1[[#This Row],[ENLACE]],"/",1),"/")</f>
        <v>peru</v>
      </c>
      <c r="D414" s="8" t="str">
        <f ca="1">IF(VLOOKUP(Tabla1[[#This Row],[PAIS]],$G$2:$H$34,2)="x","SI","NO")</f>
        <v>SI</v>
      </c>
    </row>
    <row r="415" spans="1:4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345</v>
      </c>
      <c r="C415" t="str">
        <f>_xlfn.TEXTBEFORE(_xlfn.TEXTAFTER(Tabla1[[#This Row],[ENLACE]],"/",1),"/")</f>
        <v>peru</v>
      </c>
      <c r="D415" s="8" t="str">
        <f ca="1">IF(VLOOKUP(Tabla1[[#This Row],[PAIS]],$G$2:$H$34,2)="x","SI","NO")</f>
        <v>SI</v>
      </c>
    </row>
    <row r="416" spans="1:4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346</v>
      </c>
      <c r="C416" t="str">
        <f>_xlfn.TEXTBEFORE(_xlfn.TEXTAFTER(Tabla1[[#This Row],[ENLACE]],"/",1),"/")</f>
        <v>peru</v>
      </c>
      <c r="D416" s="8" t="str">
        <f ca="1">IF(VLOOKUP(Tabla1[[#This Row],[PAIS]],$G$2:$H$34,2)="x","SI","NO")</f>
        <v>SI</v>
      </c>
    </row>
    <row r="417" spans="1:4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347</v>
      </c>
      <c r="C417" t="str">
        <f>_xlfn.TEXTBEFORE(_xlfn.TEXTAFTER(Tabla1[[#This Row],[ENLACE]],"/",1),"/")</f>
        <v>peru</v>
      </c>
      <c r="D417" s="8" t="str">
        <f ca="1">IF(VLOOKUP(Tabla1[[#This Row],[PAIS]],$G$2:$H$34,2)="x","SI","NO")</f>
        <v>SI</v>
      </c>
    </row>
    <row r="418" spans="1:4" x14ac:dyDescent="0.3">
      <c r="A418" t="str">
        <f>MID(Tabla1[[#This Row],[ENLACE]],FIND("~",SUBSTITUTE(Tabla1[[#This Row],[ENLACE]],"/","~",2))+1,LEN(Tabla1[[#This Row],[ENLACE]]))</f>
        <v>cusco-fc</v>
      </c>
      <c r="B418" t="s">
        <v>348</v>
      </c>
      <c r="C418" t="str">
        <f>_xlfn.TEXTBEFORE(_xlfn.TEXTAFTER(Tabla1[[#This Row],[ENLACE]],"/",1),"/")</f>
        <v>peru</v>
      </c>
      <c r="D418" s="8" t="str">
        <f ca="1">IF(VLOOKUP(Tabla1[[#This Row],[PAIS]],$G$2:$H$34,2)="x","SI","NO")</f>
        <v>SI</v>
      </c>
    </row>
    <row r="419" spans="1:4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349</v>
      </c>
      <c r="C419" t="str">
        <f>_xlfn.TEXTBEFORE(_xlfn.TEXTAFTER(Tabla1[[#This Row],[ENLACE]],"/",1),"/")</f>
        <v>peru</v>
      </c>
      <c r="D419" s="8" t="str">
        <f ca="1">IF(VLOOKUP(Tabla1[[#This Row],[PAIS]],$G$2:$H$34,2)="x","SI","NO")</f>
        <v>SI</v>
      </c>
    </row>
    <row r="420" spans="1:4" x14ac:dyDescent="0.3">
      <c r="A420" t="str">
        <f>MID(Tabla1[[#This Row],[ENLACE]],FIND("~",SUBSTITUTE(Tabla1[[#This Row],[ENLACE]],"/","~",2))+1,LEN(Tabla1[[#This Row],[ENLACE]]))</f>
        <v>fc-cajamarca</v>
      </c>
      <c r="B420" t="s">
        <v>609</v>
      </c>
      <c r="C420" t="str">
        <f>_xlfn.TEXTBEFORE(_xlfn.TEXTAFTER(Tabla1[[#This Row],[ENLACE]],"/",1),"/")</f>
        <v>peru</v>
      </c>
      <c r="D420" s="8" t="str">
        <f ca="1">IF(VLOOKUP(Tabla1[[#This Row],[PAIS]],$G$2:$H$34,2)="x","SI","NO")</f>
        <v>SI</v>
      </c>
    </row>
    <row r="421" spans="1:4" x14ac:dyDescent="0.3">
      <c r="A421" t="str">
        <f>MID(Tabla1[[#This Row],[ENLACE]],FIND("~",SUBSTITUTE(Tabla1[[#This Row],[ENLACE]],"/","~",2))+1,LEN(Tabla1[[#This Row],[ENLACE]]))</f>
        <v>atletico-grau</v>
      </c>
      <c r="B421" t="s">
        <v>350</v>
      </c>
      <c r="C421" t="str">
        <f>_xlfn.TEXTBEFORE(_xlfn.TEXTAFTER(Tabla1[[#This Row],[ENLACE]],"/",1),"/")</f>
        <v>peru</v>
      </c>
      <c r="D421" s="8" t="str">
        <f ca="1">IF(VLOOKUP(Tabla1[[#This Row],[PAIS]],$G$2:$H$34,2)="x","SI","NO")</f>
        <v>SI</v>
      </c>
    </row>
    <row r="422" spans="1:4" x14ac:dyDescent="0.3">
      <c r="A422" t="str">
        <f>MID(Tabla1[[#This Row],[ENLACE]],FIND("~",SUBSTITUTE(Tabla1[[#This Row],[ENLACE]],"/","~",2))+1,LEN(Tabla1[[#This Row],[ENLACE]]))</f>
        <v>sport-huancayo</v>
      </c>
      <c r="B422" t="s">
        <v>351</v>
      </c>
      <c r="C422" t="str">
        <f>_xlfn.TEXTBEFORE(_xlfn.TEXTAFTER(Tabla1[[#This Row],[ENLACE]],"/",1),"/")</f>
        <v>peru</v>
      </c>
      <c r="D422" s="8" t="str">
        <f ca="1">IF(VLOOKUP(Tabla1[[#This Row],[PAIS]],$G$2:$H$34,2)="x","SI","NO")</f>
        <v>SI</v>
      </c>
    </row>
    <row r="423" spans="1:4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352</v>
      </c>
      <c r="C423" t="str">
        <f>_xlfn.TEXTBEFORE(_xlfn.TEXTAFTER(Tabla1[[#This Row],[ENLACE]],"/",1),"/")</f>
        <v>peru</v>
      </c>
      <c r="D423" s="8" t="str">
        <f ca="1">IF(VLOOKUP(Tabla1[[#This Row],[PAIS]],$G$2:$H$34,2)="x","SI","NO")</f>
        <v>SI</v>
      </c>
    </row>
    <row r="424" spans="1:4" x14ac:dyDescent="0.3">
      <c r="A424" t="str">
        <f>MID(Tabla1[[#This Row],[ENLACE]],FIND("~",SUBSTITUTE(Tabla1[[#This Row],[ENLACE]],"/","~",2))+1,LEN(Tabla1[[#This Row],[ENLACE]]))</f>
        <v>los-chankas-cyc</v>
      </c>
      <c r="B424" t="s">
        <v>353</v>
      </c>
      <c r="C424" t="str">
        <f>_xlfn.TEXTBEFORE(_xlfn.TEXTAFTER(Tabla1[[#This Row],[ENLACE]],"/",1),"/")</f>
        <v>peru</v>
      </c>
      <c r="D424" s="8" t="str">
        <f ca="1">IF(VLOOKUP(Tabla1[[#This Row],[PAIS]],$G$2:$H$34,2)="x","SI","NO")</f>
        <v>SI</v>
      </c>
    </row>
    <row r="425" spans="1:4" x14ac:dyDescent="0.3">
      <c r="A425" t="str">
        <f>MID(Tabla1[[#This Row],[ENLACE]],FIND("~",SUBSTITUTE(Tabla1[[#This Row],[ENLACE]],"/","~",2))+1,LEN(Tabla1[[#This Row],[ENLACE]]))</f>
        <v>fbc-melgar</v>
      </c>
      <c r="B425" t="s">
        <v>354</v>
      </c>
      <c r="C425" t="str">
        <f>_xlfn.TEXTBEFORE(_xlfn.TEXTAFTER(Tabla1[[#This Row],[ENLACE]],"/",1),"/")</f>
        <v>peru</v>
      </c>
      <c r="D425" s="8" t="str">
        <f ca="1">IF(VLOOKUP(Tabla1[[#This Row],[PAIS]],$G$2:$H$34,2)="x","SI","NO")</f>
        <v>SI</v>
      </c>
    </row>
    <row r="426" spans="1:4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610</v>
      </c>
      <c r="C426" t="str">
        <f>_xlfn.TEXTBEFORE(_xlfn.TEXTAFTER(Tabla1[[#This Row],[ENLACE]],"/",1),"/")</f>
        <v>peru</v>
      </c>
      <c r="D426" s="8" t="str">
        <f ca="1">IF(VLOOKUP(Tabla1[[#This Row],[PAIS]],$G$2:$H$34,2)="x","SI","NO")</f>
        <v>SI</v>
      </c>
    </row>
    <row r="427" spans="1:4" x14ac:dyDescent="0.3">
      <c r="A427" t="str">
        <f>MID(Tabla1[[#This Row],[ENLACE]],FIND("~",SUBSTITUTE(Tabla1[[#This Row],[ENLACE]],"/","~",2))+1,LEN(Tabla1[[#This Row],[ENLACE]]))</f>
        <v>sport-boys</v>
      </c>
      <c r="B427" t="s">
        <v>355</v>
      </c>
      <c r="C427" t="str">
        <f>_xlfn.TEXTBEFORE(_xlfn.TEXTAFTER(Tabla1[[#This Row],[ENLACE]],"/",1),"/")</f>
        <v>peru</v>
      </c>
      <c r="D427" s="8" t="str">
        <f ca="1">IF(VLOOKUP(Tabla1[[#This Row],[PAIS]],$G$2:$H$34,2)="x","SI","NO")</f>
        <v>SI</v>
      </c>
    </row>
    <row r="428" spans="1:4" x14ac:dyDescent="0.3">
      <c r="A428" t="str">
        <f>MID(Tabla1[[#This Row],[ENLACE]],FIND("~",SUBSTITUTE(Tabla1[[#This Row],[ENLACE]],"/","~",2))+1,LEN(Tabla1[[#This Row],[ENLACE]]))</f>
        <v>sporting-cristal</v>
      </c>
      <c r="B428" t="s">
        <v>356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SI</v>
      </c>
    </row>
    <row r="429" spans="1:4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357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SI</v>
      </c>
    </row>
    <row r="430" spans="1:4" x14ac:dyDescent="0.3">
      <c r="A430" t="str">
        <f>MID(Tabla1[[#This Row],[ENLACE]],FIND("~",SUBSTITUTE(Tabla1[[#This Row],[ENLACE]],"/","~",2))+1,LEN(Tabla1[[#This Row],[ENLACE]]))</f>
        <v>arka-gdynia</v>
      </c>
      <c r="B430" s="5" t="s">
        <v>358</v>
      </c>
      <c r="C430" t="str">
        <f>_xlfn.TEXTBEFORE(_xlfn.TEXTAFTER(Tabla1[[#This Row],[ENLACE]],"/",1),"/")</f>
        <v>poland</v>
      </c>
      <c r="D430" s="8" t="str">
        <f ca="1">IF(VLOOKUP(Tabla1[[#This Row],[PAIS]],$G$2:$H$34,2)="x","SI","NO")</f>
        <v>SI</v>
      </c>
    </row>
    <row r="431" spans="1:4" x14ac:dyDescent="0.3">
      <c r="A431" t="str">
        <f>MID(Tabla1[[#This Row],[ENLACE]],FIND("~",SUBSTITUTE(Tabla1[[#This Row],[ENLACE]],"/","~",2))+1,LEN(Tabla1[[#This Row],[ENLACE]]))</f>
        <v>cracovia</v>
      </c>
      <c r="B431" s="2" t="s">
        <v>359</v>
      </c>
      <c r="C431" t="str">
        <f>_xlfn.TEXTBEFORE(_xlfn.TEXTAFTER(Tabla1[[#This Row],[ENLACE]],"/",1),"/")</f>
        <v>poland</v>
      </c>
      <c r="D431" s="8" t="str">
        <f ca="1">IF(VLOOKUP(Tabla1[[#This Row],[PAIS]],$G$2:$H$34,2)="x","SI","NO")</f>
        <v>SI</v>
      </c>
    </row>
    <row r="432" spans="1:4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360</v>
      </c>
      <c r="C432" t="str">
        <f>_xlfn.TEXTBEFORE(_xlfn.TEXTAFTER(Tabla1[[#This Row],[ENLACE]],"/",1),"/")</f>
        <v>poland</v>
      </c>
      <c r="D432" s="8" t="str">
        <f ca="1">IF(VLOOKUP(Tabla1[[#This Row],[PAIS]],$G$2:$H$34,2)="x","SI","NO")</f>
        <v>SI</v>
      </c>
    </row>
    <row r="433" spans="1:4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361</v>
      </c>
      <c r="C433" t="str">
        <f>_xlfn.TEXTBEFORE(_xlfn.TEXTAFTER(Tabla1[[#This Row],[ENLACE]],"/",1),"/")</f>
        <v>poland</v>
      </c>
      <c r="D433" s="8" t="str">
        <f ca="1">IF(VLOOKUP(Tabla1[[#This Row],[PAIS]],$G$2:$H$34,2)="x","SI","NO")</f>
        <v>SI</v>
      </c>
    </row>
    <row r="434" spans="1:4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362</v>
      </c>
      <c r="C434" t="str">
        <f>_xlfn.TEXTBEFORE(_xlfn.TEXTAFTER(Tabla1[[#This Row],[ENLACE]],"/",1),"/")</f>
        <v>poland</v>
      </c>
      <c r="D434" s="8" t="str">
        <f ca="1">IF(VLOOKUP(Tabla1[[#This Row],[PAIS]],$G$2:$H$34,2)="x","SI","NO")</f>
        <v>SI</v>
      </c>
    </row>
    <row r="435" spans="1:4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363</v>
      </c>
      <c r="C435" t="str">
        <f>_xlfn.TEXTBEFORE(_xlfn.TEXTAFTER(Tabla1[[#This Row],[ENLACE]],"/",1),"/")</f>
        <v>poland</v>
      </c>
      <c r="D435" s="8" t="str">
        <f ca="1">IF(VLOOKUP(Tabla1[[#This Row],[PAIS]],$G$2:$H$34,2)="x","SI","NO")</f>
        <v>SI</v>
      </c>
    </row>
    <row r="436" spans="1:4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364</v>
      </c>
      <c r="C436" t="str">
        <f>_xlfn.TEXTBEFORE(_xlfn.TEXTAFTER(Tabla1[[#This Row],[ENLACE]],"/",1),"/")</f>
        <v>poland</v>
      </c>
      <c r="D436" s="8" t="str">
        <f ca="1">IF(VLOOKUP(Tabla1[[#This Row],[PAIS]],$G$2:$H$34,2)="x","SI","NO")</f>
        <v>SI</v>
      </c>
    </row>
    <row r="437" spans="1:4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365</v>
      </c>
      <c r="C437" t="str">
        <f>_xlfn.TEXTBEFORE(_xlfn.TEXTAFTER(Tabla1[[#This Row],[ENLACE]],"/",1),"/")</f>
        <v>poland</v>
      </c>
      <c r="D437" s="8" t="str">
        <f ca="1">IF(VLOOKUP(Tabla1[[#This Row],[PAIS]],$G$2:$H$34,2)="x","SI","NO")</f>
        <v>SI</v>
      </c>
    </row>
    <row r="438" spans="1:4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366</v>
      </c>
      <c r="C438" t="str">
        <f>_xlfn.TEXTBEFORE(_xlfn.TEXTAFTER(Tabla1[[#This Row],[ENLACE]],"/",1),"/")</f>
        <v>poland</v>
      </c>
      <c r="D438" s="8" t="str">
        <f ca="1">IF(VLOOKUP(Tabla1[[#This Row],[PAIS]],$G$2:$H$34,2)="x","SI","NO")</f>
        <v>SI</v>
      </c>
    </row>
    <row r="439" spans="1:4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367</v>
      </c>
      <c r="C439" t="str">
        <f>_xlfn.TEXTBEFORE(_xlfn.TEXTAFTER(Tabla1[[#This Row],[ENLACE]],"/",1),"/")</f>
        <v>poland</v>
      </c>
      <c r="D439" s="8" t="str">
        <f ca="1">IF(VLOOKUP(Tabla1[[#This Row],[PAIS]],$G$2:$H$34,2)="x","SI","NO")</f>
        <v>SI</v>
      </c>
    </row>
    <row r="440" spans="1:4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368</v>
      </c>
      <c r="C440" t="str">
        <f>_xlfn.TEXTBEFORE(_xlfn.TEXTAFTER(Tabla1[[#This Row],[ENLACE]],"/",1),"/")</f>
        <v>poland</v>
      </c>
      <c r="D440" s="8" t="str">
        <f ca="1">IF(VLOOKUP(Tabla1[[#This Row],[PAIS]],$G$2:$H$34,2)="x","SI","NO")</f>
        <v>SI</v>
      </c>
    </row>
    <row r="441" spans="1:4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369</v>
      </c>
      <c r="C441" t="str">
        <f>_xlfn.TEXTBEFORE(_xlfn.TEXTAFTER(Tabla1[[#This Row],[ENLACE]],"/",1),"/")</f>
        <v>poland</v>
      </c>
      <c r="D441" s="8" t="str">
        <f ca="1">IF(VLOOKUP(Tabla1[[#This Row],[PAIS]],$G$2:$H$34,2)="x","SI","NO")</f>
        <v>SI</v>
      </c>
    </row>
    <row r="442" spans="1:4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370</v>
      </c>
      <c r="C442" t="str">
        <f>_xlfn.TEXTBEFORE(_xlfn.TEXTAFTER(Tabla1[[#This Row],[ENLACE]],"/",1),"/")</f>
        <v>poland</v>
      </c>
      <c r="D442" s="8" t="str">
        <f ca="1">IF(VLOOKUP(Tabla1[[#This Row],[PAIS]],$G$2:$H$34,2)="x","SI","NO")</f>
        <v>SI</v>
      </c>
    </row>
    <row r="443" spans="1:4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371</v>
      </c>
      <c r="C443" t="str">
        <f>_xlfn.TEXTBEFORE(_xlfn.TEXTAFTER(Tabla1[[#This Row],[ENLACE]],"/",1),"/")</f>
        <v>poland</v>
      </c>
      <c r="D443" s="8" t="str">
        <f ca="1">IF(VLOOKUP(Tabla1[[#This Row],[PAIS]],$G$2:$H$34,2)="x","SI","NO")</f>
        <v>SI</v>
      </c>
    </row>
    <row r="444" spans="1:4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372</v>
      </c>
      <c r="C444" t="str">
        <f>_xlfn.TEXTBEFORE(_xlfn.TEXTAFTER(Tabla1[[#This Row],[ENLACE]],"/",1),"/")</f>
        <v>poland</v>
      </c>
      <c r="D444" s="8" t="str">
        <f ca="1">IF(VLOOKUP(Tabla1[[#This Row],[PAIS]],$G$2:$H$34,2)="x","SI","NO")</f>
        <v>SI</v>
      </c>
    </row>
    <row r="445" spans="1:4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373</v>
      </c>
      <c r="C445" t="str">
        <f>_xlfn.TEXTBEFORE(_xlfn.TEXTAFTER(Tabla1[[#This Row],[ENLACE]],"/",1),"/")</f>
        <v>poland</v>
      </c>
      <c r="D445" s="8" t="str">
        <f ca="1">IF(VLOOKUP(Tabla1[[#This Row],[PAIS]],$G$2:$H$34,2)="x","SI","NO")</f>
        <v>SI</v>
      </c>
    </row>
    <row r="446" spans="1:4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374</v>
      </c>
      <c r="C446" t="str">
        <f>_xlfn.TEXTBEFORE(_xlfn.TEXTAFTER(Tabla1[[#This Row],[ENLACE]],"/",1),"/")</f>
        <v>poland</v>
      </c>
      <c r="D446" s="8" t="str">
        <f ca="1">IF(VLOOKUP(Tabla1[[#This Row],[PAIS]],$G$2:$H$34,2)="x","SI","NO")</f>
        <v>SI</v>
      </c>
    </row>
    <row r="447" spans="1:4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375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SI</v>
      </c>
    </row>
    <row r="448" spans="1:4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376</v>
      </c>
      <c r="C448" t="str">
        <f>_xlfn.TEXTBEFORE(_xlfn.TEXTAFTER(Tabla1[[#This Row],[ENLACE]],"/",1),"/")</f>
        <v>portugal</v>
      </c>
      <c r="D448" s="8" t="str">
        <f ca="1">IF(VLOOKUP(Tabla1[[#This Row],[PAIS]],$G$2:$H$34,2)="x","SI","NO")</f>
        <v>SI</v>
      </c>
    </row>
    <row r="449" spans="1:4" x14ac:dyDescent="0.3">
      <c r="A449" t="str">
        <f>MID(Tabla1[[#This Row],[ENLACE]],FIND("~",SUBSTITUTE(Tabla1[[#This Row],[ENLACE]],"/","~",2))+1,LEN(Tabla1[[#This Row],[ENLACE]]))</f>
        <v>fc-alverca</v>
      </c>
      <c r="B449" s="2" t="s">
        <v>377</v>
      </c>
      <c r="C449" t="str">
        <f>_xlfn.TEXTBEFORE(_xlfn.TEXTAFTER(Tabla1[[#This Row],[ENLACE]],"/",1),"/")</f>
        <v>portugal</v>
      </c>
      <c r="D449" s="8" t="str">
        <f ca="1">IF(VLOOKUP(Tabla1[[#This Row],[PAIS]],$G$2:$H$34,2)="x","SI","NO")</f>
        <v>SI</v>
      </c>
    </row>
    <row r="450" spans="1:4" x14ac:dyDescent="0.3">
      <c r="A450" t="str">
        <f>MID(Tabla1[[#This Row],[ENLACE]],FIND("~",SUBSTITUTE(Tabla1[[#This Row],[ENLACE]],"/","~",2))+1,LEN(Tabla1[[#This Row],[ENLACE]]))</f>
        <v>fc-arouca</v>
      </c>
      <c r="B450" s="5" t="s">
        <v>378</v>
      </c>
      <c r="C450" t="str">
        <f>_xlfn.TEXTBEFORE(_xlfn.TEXTAFTER(Tabla1[[#This Row],[ENLACE]],"/",1),"/")</f>
        <v>portugal</v>
      </c>
      <c r="D450" s="8" t="str">
        <f ca="1">IF(VLOOKUP(Tabla1[[#This Row],[PAIS]],$G$2:$H$34,2)="x","SI","NO")</f>
        <v>SI</v>
      </c>
    </row>
    <row r="451" spans="1:4" x14ac:dyDescent="0.3">
      <c r="A451" t="str">
        <f>MID(Tabla1[[#This Row],[ENLACE]],FIND("~",SUBSTITUTE(Tabla1[[#This Row],[ENLACE]],"/","~",2))+1,LEN(Tabla1[[#This Row],[ENLACE]]))</f>
        <v>benfica</v>
      </c>
      <c r="B451" s="2" t="s">
        <v>379</v>
      </c>
      <c r="C451" t="str">
        <f>_xlfn.TEXTBEFORE(_xlfn.TEXTAFTER(Tabla1[[#This Row],[ENLACE]],"/",1),"/")</f>
        <v>portugal</v>
      </c>
      <c r="D451" s="8" t="str">
        <f ca="1">IF(VLOOKUP(Tabla1[[#This Row],[PAIS]],$G$2:$H$34,2)="x","SI","NO")</f>
        <v>SI</v>
      </c>
    </row>
    <row r="452" spans="1:4" x14ac:dyDescent="0.3">
      <c r="A452" t="str">
        <f>MID(Tabla1[[#This Row],[ENLACE]],FIND("~",SUBSTITUTE(Tabla1[[#This Row],[ENLACE]],"/","~",2))+1,LEN(Tabla1[[#This Row],[ENLACE]]))</f>
        <v>braga</v>
      </c>
      <c r="B452" s="5" t="s">
        <v>380</v>
      </c>
      <c r="C452" t="str">
        <f>_xlfn.TEXTBEFORE(_xlfn.TEXTAFTER(Tabla1[[#This Row],[ENLACE]],"/",1),"/")</f>
        <v>portugal</v>
      </c>
      <c r="D452" s="8" t="str">
        <f ca="1">IF(VLOOKUP(Tabla1[[#This Row],[PAIS]],$G$2:$H$34,2)="x","SI","NO")</f>
        <v>SI</v>
      </c>
    </row>
    <row r="453" spans="1:4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381</v>
      </c>
      <c r="C453" t="str">
        <f>_xlfn.TEXTBEFORE(_xlfn.TEXTAFTER(Tabla1[[#This Row],[ENLACE]],"/",1),"/")</f>
        <v>portugal</v>
      </c>
      <c r="D453" s="8" t="str">
        <f ca="1">IF(VLOOKUP(Tabla1[[#This Row],[PAIS]],$G$2:$H$34,2)="x","SI","NO")</f>
        <v>SI</v>
      </c>
    </row>
    <row r="454" spans="1:4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382</v>
      </c>
      <c r="C454" t="str">
        <f>_xlfn.TEXTBEFORE(_xlfn.TEXTAFTER(Tabla1[[#This Row],[ENLACE]],"/",1),"/")</f>
        <v>portugal</v>
      </c>
      <c r="D454" s="8" t="str">
        <f ca="1">IF(VLOOKUP(Tabla1[[#This Row],[PAIS]],$G$2:$H$34,2)="x","SI","NO")</f>
        <v>SI</v>
      </c>
    </row>
    <row r="455" spans="1:4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383</v>
      </c>
      <c r="C455" t="str">
        <f>_xlfn.TEXTBEFORE(_xlfn.TEXTAFTER(Tabla1[[#This Row],[ENLACE]],"/",1),"/")</f>
        <v>portugal</v>
      </c>
      <c r="D455" s="8" t="str">
        <f ca="1">IF(VLOOKUP(Tabla1[[#This Row],[PAIS]],$G$2:$H$34,2)="x","SI","NO")</f>
        <v>SI</v>
      </c>
    </row>
    <row r="456" spans="1:4" x14ac:dyDescent="0.3">
      <c r="A456" t="str">
        <f>MID(Tabla1[[#This Row],[ENLACE]],FIND("~",SUBSTITUTE(Tabla1[[#This Row],[ENLACE]],"/","~",2))+1,LEN(Tabla1[[#This Row],[ENLACE]]))</f>
        <v>famalicao</v>
      </c>
      <c r="B456" s="5" t="s">
        <v>384</v>
      </c>
      <c r="C456" t="str">
        <f>_xlfn.TEXTBEFORE(_xlfn.TEXTAFTER(Tabla1[[#This Row],[ENLACE]],"/",1),"/")</f>
        <v>portugal</v>
      </c>
      <c r="D456" s="8" t="str">
        <f ca="1">IF(VLOOKUP(Tabla1[[#This Row],[PAIS]],$G$2:$H$34,2)="x","SI","NO")</f>
        <v>SI</v>
      </c>
    </row>
    <row r="457" spans="1:4" x14ac:dyDescent="0.3">
      <c r="A457" t="str">
        <f>MID(Tabla1[[#This Row],[ENLACE]],FIND("~",SUBSTITUTE(Tabla1[[#This Row],[ENLACE]],"/","~",2))+1,LEN(Tabla1[[#This Row],[ENLACE]]))</f>
        <v>fc-porto</v>
      </c>
      <c r="B457" s="2" t="s">
        <v>385</v>
      </c>
      <c r="C457" t="str">
        <f>_xlfn.TEXTBEFORE(_xlfn.TEXTAFTER(Tabla1[[#This Row],[ENLACE]],"/",1),"/")</f>
        <v>portugal</v>
      </c>
      <c r="D457" s="8" t="str">
        <f ca="1">IF(VLOOKUP(Tabla1[[#This Row],[PAIS]],$G$2:$H$34,2)="x","SI","NO")</f>
        <v>SI</v>
      </c>
    </row>
    <row r="458" spans="1:4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386</v>
      </c>
      <c r="C458" t="str">
        <f>_xlfn.TEXTBEFORE(_xlfn.TEXTAFTER(Tabla1[[#This Row],[ENLACE]],"/",1),"/")</f>
        <v>portugal</v>
      </c>
      <c r="D458" s="8" t="str">
        <f ca="1">IF(VLOOKUP(Tabla1[[#This Row],[PAIS]],$G$2:$H$34,2)="x","SI","NO")</f>
        <v>SI</v>
      </c>
    </row>
    <row r="459" spans="1:4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387</v>
      </c>
      <c r="C459" t="str">
        <f>_xlfn.TEXTBEFORE(_xlfn.TEXTAFTER(Tabla1[[#This Row],[ENLACE]],"/",1),"/")</f>
        <v>portugal</v>
      </c>
      <c r="D459" s="8" t="str">
        <f ca="1">IF(VLOOKUP(Tabla1[[#This Row],[PAIS]],$G$2:$H$34,2)="x","SI","NO")</f>
        <v>SI</v>
      </c>
    </row>
    <row r="460" spans="1:4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388</v>
      </c>
      <c r="C460" t="str">
        <f>_xlfn.TEXTBEFORE(_xlfn.TEXTAFTER(Tabla1[[#This Row],[ENLACE]],"/",1),"/")</f>
        <v>portugal</v>
      </c>
      <c r="D460" s="8" t="str">
        <f ca="1">IF(VLOOKUP(Tabla1[[#This Row],[PAIS]],$G$2:$H$34,2)="x","SI","NO")</f>
        <v>SI</v>
      </c>
    </row>
    <row r="461" spans="1:4" x14ac:dyDescent="0.3">
      <c r="A461" t="str">
        <f>MID(Tabla1[[#This Row],[ENLACE]],FIND("~",SUBSTITUTE(Tabla1[[#This Row],[ENLACE]],"/","~",2))+1,LEN(Tabla1[[#This Row],[ENLACE]]))</f>
        <v>cd-nacional</v>
      </c>
      <c r="B461" s="2" t="s">
        <v>389</v>
      </c>
      <c r="C461" t="str">
        <f>_xlfn.TEXTBEFORE(_xlfn.TEXTAFTER(Tabla1[[#This Row],[ENLACE]],"/",1),"/")</f>
        <v>portugal</v>
      </c>
      <c r="D461" s="8" t="str">
        <f ca="1">IF(VLOOKUP(Tabla1[[#This Row],[PAIS]],$G$2:$H$34,2)="x","SI","NO")</f>
        <v>SI</v>
      </c>
    </row>
    <row r="462" spans="1:4" x14ac:dyDescent="0.3">
      <c r="A462" t="str">
        <f>MID(Tabla1[[#This Row],[ENLACE]],FIND("~",SUBSTITUTE(Tabla1[[#This Row],[ENLACE]],"/","~",2))+1,LEN(Tabla1[[#This Row],[ENLACE]]))</f>
        <v>rio-ave-fc</v>
      </c>
      <c r="B462" s="5" t="s">
        <v>390</v>
      </c>
      <c r="C462" t="str">
        <f>_xlfn.TEXTBEFORE(_xlfn.TEXTAFTER(Tabla1[[#This Row],[ENLACE]],"/",1),"/")</f>
        <v>portugal</v>
      </c>
      <c r="D462" s="8" t="str">
        <f ca="1">IF(VLOOKUP(Tabla1[[#This Row],[PAIS]],$G$2:$H$34,2)="x","SI","NO")</f>
        <v>SI</v>
      </c>
    </row>
    <row r="463" spans="1:4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391</v>
      </c>
      <c r="C463" t="str">
        <f>_xlfn.TEXTBEFORE(_xlfn.TEXTAFTER(Tabla1[[#This Row],[ENLACE]],"/",1),"/")</f>
        <v>portugal</v>
      </c>
      <c r="D463" s="8" t="str">
        <f ca="1">IF(VLOOKUP(Tabla1[[#This Row],[PAIS]],$G$2:$H$34,2)="x","SI","NO")</f>
        <v>SI</v>
      </c>
    </row>
    <row r="464" spans="1:4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392</v>
      </c>
      <c r="C464" t="str">
        <f>_xlfn.TEXTBEFORE(_xlfn.TEXTAFTER(Tabla1[[#This Row],[ENLACE]],"/",1),"/")</f>
        <v>portugal</v>
      </c>
      <c r="D464" s="8" t="str">
        <f ca="1">IF(VLOOKUP(Tabla1[[#This Row],[PAIS]],$G$2:$H$34,2)="x","SI","NO")</f>
        <v>SI</v>
      </c>
    </row>
    <row r="465" spans="1:4" x14ac:dyDescent="0.3">
      <c r="A465" t="str">
        <f>MID(Tabla1[[#This Row],[ENLACE]],FIND("~",SUBSTITUTE(Tabla1[[#This Row],[ENLACE]],"/","~",2))+1,LEN(Tabla1[[#This Row],[ENLACE]]))</f>
        <v>cd-tondela</v>
      </c>
      <c r="B465" s="2" t="s">
        <v>393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394</v>
      </c>
      <c r="C466" t="str">
        <f>_xlfn.TEXTBEFORE(_xlfn.TEXTAFTER(Tabla1[[#This Row],[ENLACE]],"/",1),"/")</f>
        <v>romania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cfr-cluj</v>
      </c>
      <c r="B467" s="2" t="s">
        <v>395</v>
      </c>
      <c r="C467" t="str">
        <f>_xlfn.TEXTBEFORE(_xlfn.TEXTAFTER(Tabla1[[#This Row],[ENLACE]],"/",1),"/")</f>
        <v>romania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396</v>
      </c>
      <c r="C468" t="str">
        <f>_xlfn.TEXTBEFORE(_xlfn.TEXTAFTER(Tabla1[[#This Row],[ENLACE]],"/",1),"/")</f>
        <v>romania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397</v>
      </c>
      <c r="C469" t="str">
        <f>_xlfn.TEXTBEFORE(_xlfn.TEXTAFTER(Tabla1[[#This Row],[ENLACE]],"/",1),"/")</f>
        <v>romania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398</v>
      </c>
      <c r="C470" t="str">
        <f>_xlfn.TEXTBEFORE(_xlfn.TEXTAFTER(Tabla1[[#This Row],[ENLACE]],"/",1),"/")</f>
        <v>romania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399</v>
      </c>
      <c r="C471" t="str">
        <f>_xlfn.TEXTBEFORE(_xlfn.TEXTAFTER(Tabla1[[#This Row],[ENLACE]],"/",1),"/")</f>
        <v>romania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400</v>
      </c>
      <c r="C472" t="str">
        <f>_xlfn.TEXTBEFORE(_xlfn.TEXTAFTER(Tabla1[[#This Row],[ENLACE]],"/",1),"/")</f>
        <v>romania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401</v>
      </c>
      <c r="C473" t="str">
        <f>_xlfn.TEXTBEFORE(_xlfn.TEXTAFTER(Tabla1[[#This Row],[ENLACE]],"/",1),"/")</f>
        <v>romania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fcsb</v>
      </c>
      <c r="B474" s="5" t="s">
        <v>402</v>
      </c>
      <c r="C474" t="str">
        <f>_xlfn.TEXTBEFORE(_xlfn.TEXTAFTER(Tabla1[[#This Row],[ENLACE]],"/",1),"/")</f>
        <v>romania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403</v>
      </c>
      <c r="C475" t="str">
        <f>_xlfn.TEXTBEFORE(_xlfn.TEXTAFTER(Tabla1[[#This Row],[ENLACE]],"/",1),"/")</f>
        <v>romania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404</v>
      </c>
      <c r="C476" t="str">
        <f>_xlfn.TEXTBEFORE(_xlfn.TEXTAFTER(Tabla1[[#This Row],[ENLACE]],"/",1),"/")</f>
        <v>romania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405</v>
      </c>
      <c r="C477" t="str">
        <f>_xlfn.TEXTBEFORE(_xlfn.TEXTAFTER(Tabla1[[#This Row],[ENLACE]],"/",1),"/")</f>
        <v>romania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406</v>
      </c>
      <c r="C478" t="str">
        <f>_xlfn.TEXTBEFORE(_xlfn.TEXTAFTER(Tabla1[[#This Row],[ENLACE]],"/",1),"/")</f>
        <v>romania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407</v>
      </c>
      <c r="C479" t="str">
        <f>_xlfn.TEXTBEFORE(_xlfn.TEXTAFTER(Tabla1[[#This Row],[ENLACE]],"/",1),"/")</f>
        <v>romania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408</v>
      </c>
      <c r="C480" t="str">
        <f>_xlfn.TEXTBEFORE(_xlfn.TEXTAFTER(Tabla1[[#This Row],[ENLACE]],"/",1),"/")</f>
        <v>romania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fc-uta-arad</v>
      </c>
      <c r="B481" s="2" t="s">
        <v>409</v>
      </c>
      <c r="C481" t="str">
        <f>_xlfn.TEXTBEFORE(_xlfn.TEXTAFTER(Tabla1[[#This Row],[ENLACE]],"/",1),"/")</f>
        <v>romania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411</v>
      </c>
      <c r="C482" t="str">
        <f>_xlfn.TEXTBEFORE(_xlfn.TEXTAFTER(Tabla1[[#This Row],[ENLACE]],"/",1),"/")</f>
        <v>saudi-arabia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412</v>
      </c>
      <c r="C483" t="str">
        <f>_xlfn.TEXTBEFORE(_xlfn.TEXTAFTER(Tabla1[[#This Row],[ENLACE]],"/",1),"/")</f>
        <v>saudi-arabia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al-hazem-fc</v>
      </c>
      <c r="B484" s="5" t="s">
        <v>571</v>
      </c>
      <c r="C484" t="str">
        <f>_xlfn.TEXTBEFORE(_xlfn.TEXTAFTER(Tabla1[[#This Row],[ENLACE]],"/",1),"/")</f>
        <v>saudi-arabia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khaleej-fc</v>
      </c>
      <c r="B485" s="2" t="s">
        <v>413</v>
      </c>
      <c r="C485" t="str">
        <f>_xlfn.TEXTBEFORE(_xlfn.TEXTAFTER(Tabla1[[#This Row],[ENLACE]],"/",1),"/")</f>
        <v>saudi-arabia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414</v>
      </c>
      <c r="C486" t="str">
        <f>_xlfn.TEXTBEFORE(_xlfn.TEXTAFTER(Tabla1[[#This Row],[ENLACE]],"/",1),"/")</f>
        <v>saudi-arabia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al-najma-sc</v>
      </c>
      <c r="B487" s="2" t="s">
        <v>572</v>
      </c>
      <c r="C487" t="str">
        <f>_xlfn.TEXTBEFORE(_xlfn.TEXTAFTER(Tabla1[[#This Row],[ENLACE]],"/",1),"/")</f>
        <v>saudi-arabia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410</v>
      </c>
      <c r="C488" t="str">
        <f>_xlfn.TEXTBEFORE(_xlfn.TEXTAFTER(Tabla1[[#This Row],[ENLACE]],"/",1),"/")</f>
        <v>saudi-arabia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415</v>
      </c>
      <c r="C489" t="str">
        <f>_xlfn.TEXTBEFORE(_xlfn.TEXTAFTER(Tabla1[[#This Row],[ENLACE]],"/",1),"/")</f>
        <v>saudi-arabia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416</v>
      </c>
      <c r="C490" t="str">
        <f>_xlfn.TEXTBEFORE(_xlfn.TEXTAFTER(Tabla1[[#This Row],[ENLACE]],"/",1),"/")</f>
        <v>saudi-arabia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417</v>
      </c>
      <c r="C491" t="str">
        <f>_xlfn.TEXTBEFORE(_xlfn.TEXTAFTER(Tabla1[[#This Row],[ENLACE]],"/",1),"/")</f>
        <v>saudi-arabia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418</v>
      </c>
      <c r="C492" t="str">
        <f>_xlfn.TEXTBEFORE(_xlfn.TEXTAFTER(Tabla1[[#This Row],[ENLACE]],"/",1),"/")</f>
        <v>saudi-arabia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al-hilal-fc</v>
      </c>
      <c r="B493" s="2" t="s">
        <v>419</v>
      </c>
      <c r="C493" t="str">
        <f>_xlfn.TEXTBEFORE(_xlfn.TEXTAFTER(Tabla1[[#This Row],[ENLACE]],"/",1),"/")</f>
        <v>saudi-arabia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420</v>
      </c>
      <c r="C494" t="str">
        <f>_xlfn.TEXTBEFORE(_xlfn.TEXTAFTER(Tabla1[[#This Row],[ENLACE]],"/",1),"/")</f>
        <v>saudi-arabia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421</v>
      </c>
      <c r="C495" t="str">
        <f>_xlfn.TEXTBEFORE(_xlfn.TEXTAFTER(Tabla1[[#This Row],[ENLACE]],"/",1),"/")</f>
        <v>saudi-arabia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422</v>
      </c>
      <c r="C496" t="str">
        <f>_xlfn.TEXTBEFORE(_xlfn.TEXTAFTER(Tabla1[[#This Row],[ENLACE]],"/",1),"/")</f>
        <v>saudi-arabia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423</v>
      </c>
      <c r="C497" t="str">
        <f>_xlfn.TEXTBEFORE(_xlfn.TEXTAFTER(Tabla1[[#This Row],[ENLACE]],"/",1),"/")</f>
        <v>saudi-arabia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damac-fc</v>
      </c>
      <c r="B498" s="5" t="s">
        <v>424</v>
      </c>
      <c r="C498" t="str">
        <f>_xlfn.TEXTBEFORE(_xlfn.TEXTAFTER(Tabla1[[#This Row],[ENLACE]],"/",1),"/")</f>
        <v>saudi-arabia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neom-sc</v>
      </c>
      <c r="B499" s="2" t="s">
        <v>573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425</v>
      </c>
      <c r="C500" t="str">
        <f>_xlfn.TEXTBEFORE(_xlfn.TEXTAFTER(Tabla1[[#This Row],[ENLACE]],"/",1),"/")</f>
        <v>scotland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celtic-fc</v>
      </c>
      <c r="B501" s="2" t="s">
        <v>426</v>
      </c>
      <c r="C501" t="str">
        <f>_xlfn.TEXTBEFORE(_xlfn.TEXTAFTER(Tabla1[[#This Row],[ENLACE]],"/",1),"/")</f>
        <v>scotland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dundee-fc</v>
      </c>
      <c r="B502" s="5" t="s">
        <v>427</v>
      </c>
      <c r="C502" t="str">
        <f>_xlfn.TEXTBEFORE(_xlfn.TEXTAFTER(Tabla1[[#This Row],[ENLACE]],"/",1),"/")</f>
        <v>scotland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428</v>
      </c>
      <c r="C503" t="str">
        <f>_xlfn.TEXTBEFORE(_xlfn.TEXTAFTER(Tabla1[[#This Row],[ENLACE]],"/",1),"/")</f>
        <v>scotland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falkirk-fc</v>
      </c>
      <c r="B504" s="5" t="s">
        <v>429</v>
      </c>
      <c r="C504" t="str">
        <f>_xlfn.TEXTBEFORE(_xlfn.TEXTAFTER(Tabla1[[#This Row],[ENLACE]],"/",1),"/")</f>
        <v>scotland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430</v>
      </c>
      <c r="C505" t="str">
        <f>_xlfn.TEXTBEFORE(_xlfn.TEXTAFTER(Tabla1[[#This Row],[ENLACE]],"/",1),"/")</f>
        <v>scotland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431</v>
      </c>
      <c r="C506" t="str">
        <f>_xlfn.TEXTBEFORE(_xlfn.TEXTAFTER(Tabla1[[#This Row],[ENLACE]],"/",1),"/")</f>
        <v>scotland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432</v>
      </c>
      <c r="C507" t="str">
        <f>_xlfn.TEXTBEFORE(_xlfn.TEXTAFTER(Tabla1[[#This Row],[ENLACE]],"/",1),"/")</f>
        <v>scotland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433</v>
      </c>
      <c r="C508" t="str">
        <f>_xlfn.TEXTBEFORE(_xlfn.TEXTAFTER(Tabla1[[#This Row],[ENLACE]],"/",1),"/")</f>
        <v>scotland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434</v>
      </c>
      <c r="C509" t="str">
        <f>_xlfn.TEXTBEFORE(_xlfn.TEXTAFTER(Tabla1[[#This Row],[ENLACE]],"/",1),"/")</f>
        <v>scotland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rangers-fc</v>
      </c>
      <c r="B510" s="5" t="s">
        <v>435</v>
      </c>
      <c r="C510" t="str">
        <f>_xlfn.TEXTBEFORE(_xlfn.TEXTAFTER(Tabla1[[#This Row],[ENLACE]],"/",1),"/")</f>
        <v>scotland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436</v>
      </c>
      <c r="C511" t="str">
        <f>_xlfn.TEXTBEFORE(_xlfn.TEXTAFTER(Tabla1[[#This Row],[ENLACE]],"/",1),"/")</f>
        <v>scotland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elche-cf</v>
      </c>
      <c r="B518" s="5" t="s">
        <v>540</v>
      </c>
      <c r="C518" t="str">
        <f>_xlfn.TEXTBEFORE(_xlfn.TEXTAFTER(Tabla1[[#This Row],[ENLACE]],"/",1),"/")</f>
        <v>spain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levante-ud</v>
      </c>
      <c r="B522" s="5" t="s">
        <v>541</v>
      </c>
      <c r="C522" t="str">
        <f>_xlfn.TEXTBEFORE(_xlfn.TEXTAFTER(Tabla1[[#This Row],[ENLACE]],"/",1),"/")</f>
        <v>spain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real-oviedo</v>
      </c>
      <c r="B525" s="2" t="s">
        <v>542</v>
      </c>
      <c r="C525" t="str">
        <f>_xlfn.TEXTBEFORE(_xlfn.TEXTAFTER(Tabla1[[#This Row],[ENLACE]],"/",1),"/")</f>
        <v>spain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437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ud-almeria</v>
      </c>
      <c r="B533" s="2" t="s">
        <v>438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fc-andorra</v>
      </c>
      <c r="B534" s="5" t="s">
        <v>528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burgos-cf</v>
      </c>
      <c r="B535" s="2" t="s">
        <v>439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cadiz-cf</v>
      </c>
      <c r="B536" s="5" t="s">
        <v>440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441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ad-ceuta-fc</v>
      </c>
      <c r="B538" s="5" t="s">
        <v>529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cordoba-cf</v>
      </c>
      <c r="B539" s="2" t="s">
        <v>442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530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sd-eibar</v>
      </c>
      <c r="B541" s="2" t="s">
        <v>443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444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granada-cf</v>
      </c>
      <c r="B543" s="2" t="s">
        <v>445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sd-huesca</v>
      </c>
      <c r="B544" s="5" t="s">
        <v>446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447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malaga-cf</v>
      </c>
      <c r="B548" s="5" t="s">
        <v>448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cd-mirandes</v>
      </c>
      <c r="B549" s="2" t="s">
        <v>449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450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531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451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aik</v>
      </c>
      <c r="B554" s="5" t="s">
        <v>452</v>
      </c>
      <c r="C554" t="str">
        <f>_xlfn.TEXTBEFORE(_xlfn.TEXTAFTER(Tabla1[[#This Row],[ENLACE]],"/",1),"/")</f>
        <v>sweden</v>
      </c>
      <c r="D554" s="8" t="str">
        <f ca="1">IF(VLOOKUP(Tabla1[[#This Row],[PAIS]],$G$2:$H$34,2)="x","SI","NO")</f>
        <v>NO</v>
      </c>
    </row>
    <row r="555" spans="1:4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453</v>
      </c>
      <c r="C555" t="str">
        <f>_xlfn.TEXTBEFORE(_xlfn.TEXTAFTER(Tabla1[[#This Row],[ENLACE]],"/",1),"/")</f>
        <v>sweden</v>
      </c>
      <c r="D555" s="8" t="str">
        <f ca="1">IF(VLOOKUP(Tabla1[[#This Row],[PAIS]],$G$2:$H$34,2)="x","SI","NO")</f>
        <v>NO</v>
      </c>
    </row>
    <row r="556" spans="1:4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454</v>
      </c>
      <c r="C556" t="str">
        <f>_xlfn.TEXTBEFORE(_xlfn.TEXTAFTER(Tabla1[[#This Row],[ENLACE]],"/",1),"/")</f>
        <v>sweden</v>
      </c>
      <c r="D556" s="8" t="str">
        <f ca="1">IF(VLOOKUP(Tabla1[[#This Row],[PAIS]],$G$2:$H$34,2)="x","SI","NO")</f>
        <v>NO</v>
      </c>
    </row>
    <row r="557" spans="1:4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455</v>
      </c>
      <c r="C557" t="str">
        <f>_xlfn.TEXTBEFORE(_xlfn.TEXTAFTER(Tabla1[[#This Row],[ENLACE]],"/",1),"/")</f>
        <v>sweden</v>
      </c>
      <c r="D557" s="8" t="str">
        <f ca="1">IF(VLOOKUP(Tabla1[[#This Row],[PAIS]],$G$2:$H$34,2)="x","SI","NO")</f>
        <v>NO</v>
      </c>
    </row>
    <row r="558" spans="1:4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456</v>
      </c>
      <c r="C558" t="str">
        <f>_xlfn.TEXTBEFORE(_xlfn.TEXTAFTER(Tabla1[[#This Row],[ENLACE]],"/",1),"/")</f>
        <v>sweden</v>
      </c>
      <c r="D558" s="8" t="str">
        <f ca="1">IF(VLOOKUP(Tabla1[[#This Row],[PAIS]],$G$2:$H$34,2)="x","SI","NO")</f>
        <v>NO</v>
      </c>
    </row>
    <row r="559" spans="1:4" x14ac:dyDescent="0.3">
      <c r="A559" t="str">
        <f>MID(Tabla1[[#This Row],[ENLACE]],FIND("~",SUBSTITUTE(Tabla1[[#This Row],[ENLACE]],"/","~",2))+1,LEN(Tabla1[[#This Row],[ENLACE]]))</f>
        <v>gais</v>
      </c>
      <c r="B559" s="2" t="s">
        <v>457</v>
      </c>
      <c r="C559" t="str">
        <f>_xlfn.TEXTBEFORE(_xlfn.TEXTAFTER(Tabla1[[#This Row],[ENLACE]],"/",1),"/")</f>
        <v>sweden</v>
      </c>
      <c r="D559" s="8" t="str">
        <f ca="1">IF(VLOOKUP(Tabla1[[#This Row],[PAIS]],$G$2:$H$34,2)="x","SI","NO")</f>
        <v>NO</v>
      </c>
    </row>
    <row r="560" spans="1:4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458</v>
      </c>
      <c r="C560" t="str">
        <f>_xlfn.TEXTBEFORE(_xlfn.TEXTAFTER(Tabla1[[#This Row],[ENLACE]],"/",1),"/")</f>
        <v>sweden</v>
      </c>
      <c r="D560" s="8" t="str">
        <f ca="1">IF(VLOOKUP(Tabla1[[#This Row],[PAIS]],$G$2:$H$34,2)="x","SI","NO")</f>
        <v>NO</v>
      </c>
    </row>
    <row r="561" spans="1:4" x14ac:dyDescent="0.3">
      <c r="A561" t="str">
        <f>MID(Tabla1[[#This Row],[ENLACE]],FIND("~",SUBSTITUTE(Tabla1[[#This Row],[ENLACE]],"/","~",2))+1,LEN(Tabla1[[#This Row],[ENLACE]]))</f>
        <v>bk-hacken</v>
      </c>
      <c r="B561" s="2" t="s">
        <v>459</v>
      </c>
      <c r="C561" t="str">
        <f>_xlfn.TEXTBEFORE(_xlfn.TEXTAFTER(Tabla1[[#This Row],[ENLACE]],"/",1),"/")</f>
        <v>sweden</v>
      </c>
      <c r="D561" s="8" t="str">
        <f ca="1">IF(VLOOKUP(Tabla1[[#This Row],[PAIS]],$G$2:$H$34,2)="x","SI","NO")</f>
        <v>NO</v>
      </c>
    </row>
    <row r="562" spans="1:4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460</v>
      </c>
      <c r="C562" t="str">
        <f>_xlfn.TEXTBEFORE(_xlfn.TEXTAFTER(Tabla1[[#This Row],[ENLACE]],"/",1),"/")</f>
        <v>sweden</v>
      </c>
      <c r="D562" s="8" t="str">
        <f ca="1">IF(VLOOKUP(Tabla1[[#This Row],[PAIS]],$G$2:$H$34,2)="x","SI","NO")</f>
        <v>NO</v>
      </c>
    </row>
    <row r="563" spans="1:4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461</v>
      </c>
      <c r="C563" t="str">
        <f>_xlfn.TEXTBEFORE(_xlfn.TEXTAFTER(Tabla1[[#This Row],[ENLACE]],"/",1),"/")</f>
        <v>sweden</v>
      </c>
      <c r="D563" s="8" t="str">
        <f ca="1">IF(VLOOKUP(Tabla1[[#This Row],[PAIS]],$G$2:$H$34,2)="x","SI","NO")</f>
        <v>NO</v>
      </c>
    </row>
    <row r="564" spans="1:4" x14ac:dyDescent="0.3">
      <c r="A564" t="str">
        <f>MID(Tabla1[[#This Row],[ENLACE]],FIND("~",SUBSTITUTE(Tabla1[[#This Row],[ENLACE]],"/","~",2))+1,LEN(Tabla1[[#This Row],[ENLACE]]))</f>
        <v>malmo-ff</v>
      </c>
      <c r="B564" s="5" t="s">
        <v>462</v>
      </c>
      <c r="C564" t="str">
        <f>_xlfn.TEXTBEFORE(_xlfn.TEXTAFTER(Tabla1[[#This Row],[ENLACE]],"/",1),"/")</f>
        <v>sweden</v>
      </c>
      <c r="D564" s="8" t="str">
        <f ca="1">IF(VLOOKUP(Tabla1[[#This Row],[PAIS]],$G$2:$H$34,2)="x","SI","NO")</f>
        <v>NO</v>
      </c>
    </row>
    <row r="565" spans="1:4" x14ac:dyDescent="0.3">
      <c r="A565" t="str">
        <f>MID(Tabla1[[#This Row],[ENLACE]],FIND("~",SUBSTITUTE(Tabla1[[#This Row],[ENLACE]],"/","~",2))+1,LEN(Tabla1[[#This Row],[ENLACE]]))</f>
        <v>mjallby-aif</v>
      </c>
      <c r="B565" s="2" t="s">
        <v>463</v>
      </c>
      <c r="C565" t="str">
        <f>_xlfn.TEXTBEFORE(_xlfn.TEXTAFTER(Tabla1[[#This Row],[ENLACE]],"/",1),"/")</f>
        <v>sweden</v>
      </c>
      <c r="D565" s="8" t="str">
        <f ca="1">IF(VLOOKUP(Tabla1[[#This Row],[PAIS]],$G$2:$H$34,2)="x","SI","NO")</f>
        <v>NO</v>
      </c>
    </row>
    <row r="566" spans="1:4" x14ac:dyDescent="0.3">
      <c r="A566" t="str">
        <f>MID(Tabla1[[#This Row],[ENLACE]],FIND("~",SUBSTITUTE(Tabla1[[#This Row],[ENLACE]],"/","~",2))+1,LEN(Tabla1[[#This Row],[ENLACE]]))</f>
        <v>ifk-norrkoping</v>
      </c>
      <c r="B566" s="5" t="s">
        <v>464</v>
      </c>
      <c r="C566" t="str">
        <f>_xlfn.TEXTBEFORE(_xlfn.TEXTAFTER(Tabla1[[#This Row],[ENLACE]],"/",1),"/")</f>
        <v>sweden</v>
      </c>
      <c r="D566" s="8" t="str">
        <f ca="1">IF(VLOOKUP(Tabla1[[#This Row],[PAIS]],$G$2:$H$34,2)="x","SI","NO")</f>
        <v>NO</v>
      </c>
    </row>
    <row r="567" spans="1:4" x14ac:dyDescent="0.3">
      <c r="A567" t="str">
        <f>MID(Tabla1[[#This Row],[ENLACE]],FIND("~",SUBSTITUTE(Tabla1[[#This Row],[ENLACE]],"/","~",2))+1,LEN(Tabla1[[#This Row],[ENLACE]]))</f>
        <v>osters-if</v>
      </c>
      <c r="B567" s="2" t="s">
        <v>465</v>
      </c>
      <c r="C567" t="str">
        <f>_xlfn.TEXTBEFORE(_xlfn.TEXTAFTER(Tabla1[[#This Row],[ENLACE]],"/",1),"/")</f>
        <v>sweden</v>
      </c>
      <c r="D567" s="8" t="str">
        <f ca="1">IF(VLOOKUP(Tabla1[[#This Row],[PAIS]],$G$2:$H$34,2)="x","SI","NO")</f>
        <v>NO</v>
      </c>
    </row>
    <row r="568" spans="1:4" x14ac:dyDescent="0.3">
      <c r="A568" t="str">
        <f>MID(Tabla1[[#This Row],[ENLACE]],FIND("~",SUBSTITUTE(Tabla1[[#This Row],[ENLACE]],"/","~",2))+1,LEN(Tabla1[[#This Row],[ENLACE]]))</f>
        <v>ik-sirius</v>
      </c>
      <c r="B568" s="5" t="s">
        <v>466</v>
      </c>
      <c r="C568" t="str">
        <f>_xlfn.TEXTBEFORE(_xlfn.TEXTAFTER(Tabla1[[#This Row],[ENLACE]],"/",1),"/")</f>
        <v>sweden</v>
      </c>
      <c r="D568" s="8" t="str">
        <f ca="1">IF(VLOOKUP(Tabla1[[#This Row],[PAIS]],$G$2:$H$34,2)="x","SI","NO")</f>
        <v>NO</v>
      </c>
    </row>
    <row r="569" spans="1:4" x14ac:dyDescent="0.3">
      <c r="A569" t="str">
        <f>MID(Tabla1[[#This Row],[ENLACE]],FIND("~",SUBSTITUTE(Tabla1[[#This Row],[ENLACE]],"/","~",2))+1,LEN(Tabla1[[#This Row],[ENLACE]]))</f>
        <v>ifk-varnamo</v>
      </c>
      <c r="B569" s="2" t="s">
        <v>467</v>
      </c>
      <c r="C569" t="str">
        <f>_xlfn.TEXTBEFORE(_xlfn.TEXTAFTER(Tabla1[[#This Row],[ENLACE]],"/",1),"/")</f>
        <v>sweden</v>
      </c>
      <c r="D569" s="8" t="str">
        <f ca="1">IF(VLOOKUP(Tabla1[[#This Row],[PAIS]],$G$2:$H$34,2)="x","SI","NO")</f>
        <v>NO</v>
      </c>
    </row>
    <row r="570" spans="1:4" x14ac:dyDescent="0.3">
      <c r="A570" t="str">
        <f>MID(Tabla1[[#This Row],[ENLACE]],FIND("~",SUBSTITUTE(Tabla1[[#This Row],[ENLACE]],"/","~",2))+1,LEN(Tabla1[[#This Row],[ENLACE]]))</f>
        <v>fc-basel</v>
      </c>
      <c r="B570" s="5" t="s">
        <v>468</v>
      </c>
      <c r="C570" t="str">
        <f>_xlfn.TEXTBEFORE(_xlfn.TEXTAFTER(Tabla1[[#This Row],[ENLACE]],"/",1),"/")</f>
        <v>switzerland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469</v>
      </c>
      <c r="C571" t="str">
        <f>_xlfn.TEXTBEFORE(_xlfn.TEXTAFTER(Tabla1[[#This Row],[ENLACE]],"/",1),"/")</f>
        <v>switzerland</v>
      </c>
      <c r="D571" s="8" t="str">
        <f ca="1">IF(VLOOKUP(Tabla1[[#This Row],[PAIS]],$G$2:$H$34,2)="x","SI","NO")</f>
        <v>SI</v>
      </c>
    </row>
    <row r="572" spans="1:4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470</v>
      </c>
      <c r="C572" t="str">
        <f>_xlfn.TEXTBEFORE(_xlfn.TEXTAFTER(Tabla1[[#This Row],[ENLACE]],"/",1),"/")</f>
        <v>switzerland</v>
      </c>
      <c r="D572" s="8" t="str">
        <f ca="1">IF(VLOOKUP(Tabla1[[#This Row],[PAIS]],$G$2:$H$34,2)="x","SI","NO")</f>
        <v>SI</v>
      </c>
    </row>
    <row r="573" spans="1:4" x14ac:dyDescent="0.3">
      <c r="A573" t="str">
        <f>MID(Tabla1[[#This Row],[ENLACE]],FIND("~",SUBSTITUTE(Tabla1[[#This Row],[ENLACE]],"/","~",2))+1,LEN(Tabla1[[#This Row],[ENLACE]]))</f>
        <v>fc-lugano</v>
      </c>
      <c r="B573" s="2" t="s">
        <v>471</v>
      </c>
      <c r="C573" t="str">
        <f>_xlfn.TEXTBEFORE(_xlfn.TEXTAFTER(Tabla1[[#This Row],[ENLACE]],"/",1),"/")</f>
        <v>switzerland</v>
      </c>
      <c r="D573" s="8" t="str">
        <f ca="1">IF(VLOOKUP(Tabla1[[#This Row],[PAIS]],$G$2:$H$34,2)="x","SI","NO")</f>
        <v>SI</v>
      </c>
    </row>
    <row r="574" spans="1:4" x14ac:dyDescent="0.3">
      <c r="A574" t="str">
        <f>MID(Tabla1[[#This Row],[ENLACE]],FIND("~",SUBSTITUTE(Tabla1[[#This Row],[ENLACE]],"/","~",2))+1,LEN(Tabla1[[#This Row],[ENLACE]]))</f>
        <v>fc-luzern</v>
      </c>
      <c r="B574" s="5" t="s">
        <v>472</v>
      </c>
      <c r="C574" t="str">
        <f>_xlfn.TEXTBEFORE(_xlfn.TEXTAFTER(Tabla1[[#This Row],[ENLACE]],"/",1),"/")</f>
        <v>switzerland</v>
      </c>
      <c r="D574" s="8" t="str">
        <f ca="1">IF(VLOOKUP(Tabla1[[#This Row],[PAIS]],$G$2:$H$34,2)="x","SI","NO")</f>
        <v>SI</v>
      </c>
    </row>
    <row r="575" spans="1:4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473</v>
      </c>
      <c r="C575" t="str">
        <f>_xlfn.TEXTBEFORE(_xlfn.TEXTAFTER(Tabla1[[#This Row],[ENLACE]],"/",1),"/")</f>
        <v>switzerland</v>
      </c>
      <c r="D575" s="8" t="str">
        <f ca="1">IF(VLOOKUP(Tabla1[[#This Row],[PAIS]],$G$2:$H$34,2)="x","SI","NO")</f>
        <v>SI</v>
      </c>
    </row>
    <row r="576" spans="1:4" x14ac:dyDescent="0.3">
      <c r="A576" t="str">
        <f>MID(Tabla1[[#This Row],[ENLACE]],FIND("~",SUBSTITUTE(Tabla1[[#This Row],[ENLACE]],"/","~",2))+1,LEN(Tabla1[[#This Row],[ENLACE]]))</f>
        <v>fc-sion</v>
      </c>
      <c r="B576" t="s">
        <v>474</v>
      </c>
      <c r="C576" t="str">
        <f>_xlfn.TEXTBEFORE(_xlfn.TEXTAFTER(Tabla1[[#This Row],[ENLACE]],"/",1),"/")</f>
        <v>switzerland</v>
      </c>
      <c r="D576" s="8" t="str">
        <f ca="1">IF(VLOOKUP(Tabla1[[#This Row],[PAIS]],$G$2:$H$34,2)="x","SI","NO")</f>
        <v>SI</v>
      </c>
    </row>
    <row r="577" spans="1:4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475</v>
      </c>
      <c r="C577" t="str">
        <f>_xlfn.TEXTBEFORE(_xlfn.TEXTAFTER(Tabla1[[#This Row],[ENLACE]],"/",1),"/")</f>
        <v>switzerland</v>
      </c>
      <c r="D577" s="8" t="str">
        <f ca="1">IF(VLOOKUP(Tabla1[[#This Row],[PAIS]],$G$2:$H$34,2)="x","SI","NO")</f>
        <v>SI</v>
      </c>
    </row>
    <row r="578" spans="1:4" x14ac:dyDescent="0.3">
      <c r="A578" t="str">
        <f>MID(Tabla1[[#This Row],[ENLACE]],FIND("~",SUBSTITUTE(Tabla1[[#This Row],[ENLACE]],"/","~",2))+1,LEN(Tabla1[[#This Row],[ENLACE]]))</f>
        <v>fc-thun</v>
      </c>
      <c r="B578" t="s">
        <v>476</v>
      </c>
      <c r="C578" t="str">
        <f>_xlfn.TEXTBEFORE(_xlfn.TEXTAFTER(Tabla1[[#This Row],[ENLACE]],"/",1),"/")</f>
        <v>switzerland</v>
      </c>
      <c r="D578" s="8" t="str">
        <f ca="1">IF(VLOOKUP(Tabla1[[#This Row],[PAIS]],$G$2:$H$34,2)="x","SI","NO")</f>
        <v>SI</v>
      </c>
    </row>
    <row r="579" spans="1:4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477</v>
      </c>
      <c r="C579" t="str">
        <f>_xlfn.TEXTBEFORE(_xlfn.TEXTAFTER(Tabla1[[#This Row],[ENLACE]],"/",1),"/")</f>
        <v>switzerland</v>
      </c>
      <c r="D579" s="8" t="str">
        <f ca="1">IF(VLOOKUP(Tabla1[[#This Row],[PAIS]],$G$2:$H$34,2)="x","SI","NO")</f>
        <v>SI</v>
      </c>
    </row>
    <row r="580" spans="1:4" x14ac:dyDescent="0.3">
      <c r="A580" t="str">
        <f>MID(Tabla1[[#This Row],[ENLACE]],FIND("~",SUBSTITUTE(Tabla1[[#This Row],[ENLACE]],"/","~",2))+1,LEN(Tabla1[[#This Row],[ENLACE]]))</f>
        <v>bsc-young-boys</v>
      </c>
      <c r="B580" t="s">
        <v>478</v>
      </c>
      <c r="C580" t="str">
        <f>_xlfn.TEXTBEFORE(_xlfn.TEXTAFTER(Tabla1[[#This Row],[ENLACE]],"/",1),"/")</f>
        <v>switzerland</v>
      </c>
      <c r="D580" s="8" t="str">
        <f ca="1">IF(VLOOKUP(Tabla1[[#This Row],[PAIS]],$G$2:$H$34,2)="x","SI","NO")</f>
        <v>SI</v>
      </c>
    </row>
    <row r="581" spans="1:4" x14ac:dyDescent="0.3">
      <c r="A581" t="str">
        <f>MID(Tabla1[[#This Row],[ENLACE]],FIND("~",SUBSTITUTE(Tabla1[[#This Row],[ENLACE]],"/","~",2))+1,LEN(Tabla1[[#This Row],[ENLACE]]))</f>
        <v>fc-zurich</v>
      </c>
      <c r="B581" s="7" t="s">
        <v>479</v>
      </c>
      <c r="C581" t="str">
        <f>_xlfn.TEXTBEFORE(_xlfn.TEXTAFTER(Tabla1[[#This Row],[ENLACE]],"/",1),"/")</f>
        <v>switzerland</v>
      </c>
      <c r="D581" s="8" t="str">
        <f ca="1">IF(VLOOKUP(Tabla1[[#This Row],[PAIS]],$G$2:$H$34,2)="x","SI","NO")</f>
        <v>SI</v>
      </c>
    </row>
    <row r="582" spans="1:4" x14ac:dyDescent="0.3">
      <c r="A582" t="str">
        <f>MID(Tabla1[[#This Row],[ENLACE]],FIND("~",SUBSTITUTE(Tabla1[[#This Row],[ENLACE]],"/","~",2))+1,LEN(Tabla1[[#This Row],[ENLACE]]))</f>
        <v>alanyaspor</v>
      </c>
      <c r="B582" t="s">
        <v>480</v>
      </c>
      <c r="C582" t="str">
        <f>_xlfn.TEXTBEFORE(_xlfn.TEXTAFTER(Tabla1[[#This Row],[ENLACE]],"/",1),"/")</f>
        <v>turkey</v>
      </c>
      <c r="D582" s="8" t="str">
        <f ca="1">IF(VLOOKUP(Tabla1[[#This Row],[PAIS]],$G$2:$H$34,2)="x","SI","NO")</f>
        <v>SI</v>
      </c>
    </row>
    <row r="583" spans="1:4" x14ac:dyDescent="0.3">
      <c r="A583" t="str">
        <f>MID(Tabla1[[#This Row],[ENLACE]],FIND("~",SUBSTITUTE(Tabla1[[#This Row],[ENLACE]],"/","~",2))+1,LEN(Tabla1[[#This Row],[ENLACE]]))</f>
        <v>antalyaspor</v>
      </c>
      <c r="B583" s="7" t="s">
        <v>481</v>
      </c>
      <c r="C583" t="str">
        <f>_xlfn.TEXTBEFORE(_xlfn.TEXTAFTER(Tabla1[[#This Row],[ENLACE]],"/",1),"/")</f>
        <v>turkey</v>
      </c>
      <c r="D583" s="8" t="str">
        <f ca="1">IF(VLOOKUP(Tabla1[[#This Row],[PAIS]],$G$2:$H$34,2)="x","SI","NO")</f>
        <v>SI</v>
      </c>
    </row>
    <row r="584" spans="1:4" x14ac:dyDescent="0.3">
      <c r="A584" t="str">
        <f>MID(Tabla1[[#This Row],[ENLACE]],FIND("~",SUBSTITUTE(Tabla1[[#This Row],[ENLACE]],"/","~",2))+1,LEN(Tabla1[[#This Row],[ENLACE]]))</f>
        <v>istanbul-basaksehir-fk</v>
      </c>
      <c r="B584" t="s">
        <v>482</v>
      </c>
      <c r="C584" t="str">
        <f>_xlfn.TEXTBEFORE(_xlfn.TEXTAFTER(Tabla1[[#This Row],[ENLACE]],"/",1),"/")</f>
        <v>turkey</v>
      </c>
      <c r="D584" s="8" t="str">
        <f ca="1">IF(VLOOKUP(Tabla1[[#This Row],[PAIS]],$G$2:$H$34,2)="x","SI","NO")</f>
        <v>SI</v>
      </c>
    </row>
    <row r="585" spans="1:4" x14ac:dyDescent="0.3">
      <c r="A585" t="str">
        <f>MID(Tabla1[[#This Row],[ENLACE]],FIND("~",SUBSTITUTE(Tabla1[[#This Row],[ENLACE]],"/","~",2))+1,LEN(Tabla1[[#This Row],[ENLACE]]))</f>
        <v>besiktas-jk</v>
      </c>
      <c r="B585" s="7" t="s">
        <v>483</v>
      </c>
      <c r="C585" t="str">
        <f>_xlfn.TEXTBEFORE(_xlfn.TEXTAFTER(Tabla1[[#This Row],[ENLACE]],"/",1),"/")</f>
        <v>turkey</v>
      </c>
      <c r="D585" s="8" t="str">
        <f ca="1">IF(VLOOKUP(Tabla1[[#This Row],[PAIS]],$G$2:$H$34,2)="x","SI","NO")</f>
        <v>SI</v>
      </c>
    </row>
    <row r="586" spans="1:4" x14ac:dyDescent="0.3">
      <c r="A586" t="str">
        <f>MID(Tabla1[[#This Row],[ENLACE]],FIND("~",SUBSTITUTE(Tabla1[[#This Row],[ENLACE]],"/","~",2))+1,LEN(Tabla1[[#This Row],[ENLACE]]))</f>
        <v>eyupspor</v>
      </c>
      <c r="B586" t="s">
        <v>484</v>
      </c>
      <c r="C586" t="str">
        <f>_xlfn.TEXTBEFORE(_xlfn.TEXTAFTER(Tabla1[[#This Row],[ENLACE]],"/",1),"/")</f>
        <v>turkey</v>
      </c>
      <c r="D586" s="8" t="str">
        <f ca="1">IF(VLOOKUP(Tabla1[[#This Row],[PAIS]],$G$2:$H$34,2)="x","SI","NO")</f>
        <v>SI</v>
      </c>
    </row>
    <row r="587" spans="1:4" x14ac:dyDescent="0.3">
      <c r="A587" t="str">
        <f>MID(Tabla1[[#This Row],[ENLACE]],FIND("~",SUBSTITUTE(Tabla1[[#This Row],[ENLACE]],"/","~",2))+1,LEN(Tabla1[[#This Row],[ENLACE]]))</f>
        <v>fenerbahce-sk</v>
      </c>
      <c r="B587" s="7" t="s">
        <v>485</v>
      </c>
      <c r="C587" t="str">
        <f>_xlfn.TEXTBEFORE(_xlfn.TEXTAFTER(Tabla1[[#This Row],[ENLACE]],"/",1),"/")</f>
        <v>turkey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galatasaray-sk</v>
      </c>
      <c r="B588" t="s">
        <v>486</v>
      </c>
      <c r="C588" t="str">
        <f>_xlfn.TEXTBEFORE(_xlfn.TEXTAFTER(Tabla1[[#This Row],[ENLACE]],"/",1),"/")</f>
        <v>turkey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gaziantep-fk</v>
      </c>
      <c r="B589" s="7" t="s">
        <v>487</v>
      </c>
      <c r="C589" t="str">
        <f>_xlfn.TEXTBEFORE(_xlfn.TEXTAFTER(Tabla1[[#This Row],[ENLACE]],"/",1),"/")</f>
        <v>turkey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genclerbirligi-sk</v>
      </c>
      <c r="B590" t="s">
        <v>488</v>
      </c>
      <c r="C590" t="str">
        <f>_xlfn.TEXTBEFORE(_xlfn.TEXTAFTER(Tabla1[[#This Row],[ENLACE]],"/",1),"/")</f>
        <v>turkey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goztepe-sk</v>
      </c>
      <c r="B591" s="7" t="s">
        <v>489</v>
      </c>
      <c r="C591" t="str">
        <f>_xlfn.TEXTBEFORE(_xlfn.TEXTAFTER(Tabla1[[#This Row],[ENLACE]],"/",1),"/")</f>
        <v>turkey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fatih-karagumruk-sk</v>
      </c>
      <c r="B592" t="s">
        <v>490</v>
      </c>
      <c r="C592" t="str">
        <f>_xlfn.TEXTBEFORE(_xlfn.TEXTAFTER(Tabla1[[#This Row],[ENLACE]],"/",1),"/")</f>
        <v>turkey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kasimpasa-sk</v>
      </c>
      <c r="B593" s="7" t="s">
        <v>491</v>
      </c>
      <c r="C593" t="str">
        <f>_xlfn.TEXTBEFORE(_xlfn.TEXTAFTER(Tabla1[[#This Row],[ENLACE]],"/",1),"/")</f>
        <v>turkey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kayserispor</v>
      </c>
      <c r="B594" t="s">
        <v>492</v>
      </c>
      <c r="C594" t="str">
        <f>_xlfn.TEXTBEFORE(_xlfn.TEXTAFTER(Tabla1[[#This Row],[ENLACE]],"/",1),"/")</f>
        <v>turkey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kocaelispor</v>
      </c>
      <c r="B595" s="7" t="s">
        <v>493</v>
      </c>
      <c r="C595" t="str">
        <f>_xlfn.TEXTBEFORE(_xlfn.TEXTAFTER(Tabla1[[#This Row],[ENLACE]],"/",1),"/")</f>
        <v>turkey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konyaspor</v>
      </c>
      <c r="B596" t="s">
        <v>494</v>
      </c>
      <c r="C596" t="str">
        <f>_xlfn.TEXTBEFORE(_xlfn.TEXTAFTER(Tabla1[[#This Row],[ENLACE]],"/",1),"/")</f>
        <v>turkey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caykur-rizespor</v>
      </c>
      <c r="B597" s="7" t="s">
        <v>495</v>
      </c>
      <c r="C597" t="str">
        <f>_xlfn.TEXTBEFORE(_xlfn.TEXTAFTER(Tabla1[[#This Row],[ENLACE]],"/",1),"/")</f>
        <v>turkey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samsunspor</v>
      </c>
      <c r="B598" t="s">
        <v>496</v>
      </c>
      <c r="C598" t="str">
        <f>_xlfn.TEXTBEFORE(_xlfn.TEXTAFTER(Tabla1[[#This Row],[ENLACE]],"/",1),"/")</f>
        <v>turkey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trabzonspor</v>
      </c>
      <c r="B599" s="7" t="s">
        <v>497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atlanta-united-fc</v>
      </c>
      <c r="B600" t="s">
        <v>498</v>
      </c>
      <c r="C600" t="str">
        <f>_xlfn.TEXTBEFORE(_xlfn.TEXTAFTER(Tabla1[[#This Row],[ENLACE]],"/",1),"/")</f>
        <v>usa</v>
      </c>
      <c r="D600" s="8" t="str">
        <f ca="1">IF(VLOOKUP(Tabla1[[#This Row],[PAIS]],$G$2:$H$34,2)="x","SI","NO")</f>
        <v>SI</v>
      </c>
    </row>
    <row r="601" spans="1:4" x14ac:dyDescent="0.3">
      <c r="A601" t="str">
        <f>MID(Tabla1[[#This Row],[ENLACE]],FIND("~",SUBSTITUTE(Tabla1[[#This Row],[ENLACE]],"/","~",2))+1,LEN(Tabla1[[#This Row],[ENLACE]]))</f>
        <v>austin-fc</v>
      </c>
      <c r="B601" s="7" t="s">
        <v>499</v>
      </c>
      <c r="C601" t="str">
        <f>_xlfn.TEXTBEFORE(_xlfn.TEXTAFTER(Tabla1[[#This Row],[ENLACE]],"/",1),"/")</f>
        <v>usa</v>
      </c>
      <c r="D601" s="8" t="str">
        <f ca="1">IF(VLOOKUP(Tabla1[[#This Row],[PAIS]],$G$2:$H$34,2)="x","SI","NO")</f>
        <v>SI</v>
      </c>
    </row>
    <row r="602" spans="1:4" x14ac:dyDescent="0.3">
      <c r="A602" t="str">
        <f>MID(Tabla1[[#This Row],[ENLACE]],FIND("~",SUBSTITUTE(Tabla1[[#This Row],[ENLACE]],"/","~",2))+1,LEN(Tabla1[[#This Row],[ENLACE]]))</f>
        <v>club-de-foot-montreal</v>
      </c>
      <c r="B602" t="s">
        <v>500</v>
      </c>
      <c r="C602" t="str">
        <f>_xlfn.TEXTBEFORE(_xlfn.TEXTAFTER(Tabla1[[#This Row],[ENLACE]],"/",1),"/")</f>
        <v>usa</v>
      </c>
      <c r="D602" s="8" t="str">
        <f ca="1">IF(VLOOKUP(Tabla1[[#This Row],[PAIS]],$G$2:$H$34,2)="x","SI","NO")</f>
        <v>SI</v>
      </c>
    </row>
    <row r="603" spans="1:4" x14ac:dyDescent="0.3">
      <c r="A603" t="str">
        <f>MID(Tabla1[[#This Row],[ENLACE]],FIND("~",SUBSTITUTE(Tabla1[[#This Row],[ENLACE]],"/","~",2))+1,LEN(Tabla1[[#This Row],[ENLACE]]))</f>
        <v>charlotte-fc</v>
      </c>
      <c r="B603" s="7" t="s">
        <v>501</v>
      </c>
      <c r="C603" t="str">
        <f>_xlfn.TEXTBEFORE(_xlfn.TEXTAFTER(Tabla1[[#This Row],[ENLACE]],"/",1),"/")</f>
        <v>usa</v>
      </c>
      <c r="D603" s="8" t="str">
        <f ca="1">IF(VLOOKUP(Tabla1[[#This Row],[PAIS]],$G$2:$H$34,2)="x","SI","NO")</f>
        <v>SI</v>
      </c>
    </row>
    <row r="604" spans="1:4" x14ac:dyDescent="0.3">
      <c r="A604" t="str">
        <f>MID(Tabla1[[#This Row],[ENLACE]],FIND("~",SUBSTITUTE(Tabla1[[#This Row],[ENLACE]],"/","~",2))+1,LEN(Tabla1[[#This Row],[ENLACE]]))</f>
        <v>chicago-fire-fc</v>
      </c>
      <c r="B604" t="s">
        <v>502</v>
      </c>
      <c r="C604" t="str">
        <f>_xlfn.TEXTBEFORE(_xlfn.TEXTAFTER(Tabla1[[#This Row],[ENLACE]],"/",1),"/")</f>
        <v>usa</v>
      </c>
      <c r="D604" s="8" t="str">
        <f ca="1">IF(VLOOKUP(Tabla1[[#This Row],[PAIS]],$G$2:$H$34,2)="x","SI","NO")</f>
        <v>SI</v>
      </c>
    </row>
    <row r="605" spans="1:4" x14ac:dyDescent="0.3">
      <c r="A605" t="str">
        <f>MID(Tabla1[[#This Row],[ENLACE]],FIND("~",SUBSTITUTE(Tabla1[[#This Row],[ENLACE]],"/","~",2))+1,LEN(Tabla1[[#This Row],[ENLACE]]))</f>
        <v>fc-cincinnati</v>
      </c>
      <c r="B605" s="7" t="s">
        <v>503</v>
      </c>
      <c r="C605" t="str">
        <f>_xlfn.TEXTBEFORE(_xlfn.TEXTAFTER(Tabla1[[#This Row],[ENLACE]],"/",1),"/")</f>
        <v>usa</v>
      </c>
      <c r="D605" s="8" t="str">
        <f ca="1">IF(VLOOKUP(Tabla1[[#This Row],[PAIS]],$G$2:$H$34,2)="x","SI","NO")</f>
        <v>SI</v>
      </c>
    </row>
    <row r="606" spans="1:4" x14ac:dyDescent="0.3">
      <c r="A606" t="str">
        <f>MID(Tabla1[[#This Row],[ENLACE]],FIND("~",SUBSTITUTE(Tabla1[[#This Row],[ENLACE]],"/","~",2))+1,LEN(Tabla1[[#This Row],[ENLACE]]))</f>
        <v>colorado-rapids</v>
      </c>
      <c r="B606" t="s">
        <v>504</v>
      </c>
      <c r="C606" t="str">
        <f>_xlfn.TEXTBEFORE(_xlfn.TEXTAFTER(Tabla1[[#This Row],[ENLACE]],"/",1),"/")</f>
        <v>usa</v>
      </c>
      <c r="D606" s="8" t="str">
        <f ca="1">IF(VLOOKUP(Tabla1[[#This Row],[PAIS]],$G$2:$H$34,2)="x","SI","NO")</f>
        <v>SI</v>
      </c>
    </row>
    <row r="607" spans="1:4" x14ac:dyDescent="0.3">
      <c r="A607" t="str">
        <f>MID(Tabla1[[#This Row],[ENLACE]],FIND("~",SUBSTITUTE(Tabla1[[#This Row],[ENLACE]],"/","~",2))+1,LEN(Tabla1[[#This Row],[ENLACE]]))</f>
        <v>columbus-crew-sc</v>
      </c>
      <c r="B607" s="7" t="s">
        <v>505</v>
      </c>
      <c r="C607" t="str">
        <f>_xlfn.TEXTBEFORE(_xlfn.TEXTAFTER(Tabla1[[#This Row],[ENLACE]],"/",1),"/")</f>
        <v>usa</v>
      </c>
      <c r="D607" s="8" t="str">
        <f ca="1">IF(VLOOKUP(Tabla1[[#This Row],[PAIS]],$G$2:$H$34,2)="x","SI","NO")</f>
        <v>SI</v>
      </c>
    </row>
    <row r="608" spans="1:4" x14ac:dyDescent="0.3">
      <c r="A608" t="str">
        <f>MID(Tabla1[[#This Row],[ENLACE]],FIND("~",SUBSTITUTE(Tabla1[[#This Row],[ENLACE]],"/","~",2))+1,LEN(Tabla1[[#This Row],[ENLACE]]))</f>
        <v>dc-united</v>
      </c>
      <c r="B608" t="s">
        <v>506</v>
      </c>
      <c r="C608" t="str">
        <f>_xlfn.TEXTBEFORE(_xlfn.TEXTAFTER(Tabla1[[#This Row],[ENLACE]],"/",1),"/")</f>
        <v>usa</v>
      </c>
      <c r="D608" s="8" t="str">
        <f ca="1">IF(VLOOKUP(Tabla1[[#This Row],[PAIS]],$G$2:$H$34,2)="x","SI","NO")</f>
        <v>SI</v>
      </c>
    </row>
    <row r="609" spans="1:4" x14ac:dyDescent="0.3">
      <c r="A609" t="str">
        <f>MID(Tabla1[[#This Row],[ENLACE]],FIND("~",SUBSTITUTE(Tabla1[[#This Row],[ENLACE]],"/","~",2))+1,LEN(Tabla1[[#This Row],[ENLACE]]))</f>
        <v>fc-dallas</v>
      </c>
      <c r="B609" s="7" t="s">
        <v>507</v>
      </c>
      <c r="C609" t="str">
        <f>_xlfn.TEXTBEFORE(_xlfn.TEXTAFTER(Tabla1[[#This Row],[ENLACE]],"/",1),"/")</f>
        <v>usa</v>
      </c>
      <c r="D609" s="8" t="str">
        <f ca="1">IF(VLOOKUP(Tabla1[[#This Row],[PAIS]],$G$2:$H$34,2)="x","SI","NO")</f>
        <v>SI</v>
      </c>
    </row>
    <row r="610" spans="1:4" x14ac:dyDescent="0.3">
      <c r="A610" t="str">
        <f>MID(Tabla1[[#This Row],[ENLACE]],FIND("~",SUBSTITUTE(Tabla1[[#This Row],[ENLACE]],"/","~",2))+1,LEN(Tabla1[[#This Row],[ENLACE]]))</f>
        <v>houston-dynamo</v>
      </c>
      <c r="B610" t="s">
        <v>508</v>
      </c>
      <c r="C610" t="str">
        <f>_xlfn.TEXTBEFORE(_xlfn.TEXTAFTER(Tabla1[[#This Row],[ENLACE]],"/",1),"/")</f>
        <v>usa</v>
      </c>
      <c r="D610" s="8" t="str">
        <f ca="1">IF(VLOOKUP(Tabla1[[#This Row],[PAIS]],$G$2:$H$34,2)="x","SI","NO")</f>
        <v>SI</v>
      </c>
    </row>
    <row r="611" spans="1:4" x14ac:dyDescent="0.3">
      <c r="A611" t="str">
        <f>MID(Tabla1[[#This Row],[ENLACE]],FIND("~",SUBSTITUTE(Tabla1[[#This Row],[ENLACE]],"/","~",2))+1,LEN(Tabla1[[#This Row],[ENLACE]]))</f>
        <v>inter-miami-cf</v>
      </c>
      <c r="B611" s="7" t="s">
        <v>509</v>
      </c>
      <c r="C611" t="str">
        <f>_xlfn.TEXTBEFORE(_xlfn.TEXTAFTER(Tabla1[[#This Row],[ENLACE]],"/",1),"/")</f>
        <v>usa</v>
      </c>
      <c r="D611" s="8" t="str">
        <f ca="1">IF(VLOOKUP(Tabla1[[#This Row],[PAIS]],$G$2:$H$34,2)="x","SI","NO")</f>
        <v>SI</v>
      </c>
    </row>
    <row r="612" spans="1:4" x14ac:dyDescent="0.3">
      <c r="A612" t="str">
        <f>MID(Tabla1[[#This Row],[ENLACE]],FIND("~",SUBSTITUTE(Tabla1[[#This Row],[ENLACE]],"/","~",2))+1,LEN(Tabla1[[#This Row],[ENLACE]]))</f>
        <v>los-angeles-fc</v>
      </c>
      <c r="B612" t="s">
        <v>510</v>
      </c>
      <c r="C612" t="str">
        <f>_xlfn.TEXTBEFORE(_xlfn.TEXTAFTER(Tabla1[[#This Row],[ENLACE]],"/",1),"/")</f>
        <v>usa</v>
      </c>
      <c r="D612" s="8" t="str">
        <f ca="1">IF(VLOOKUP(Tabla1[[#This Row],[PAIS]],$G$2:$H$34,2)="x","SI","NO")</f>
        <v>SI</v>
      </c>
    </row>
    <row r="613" spans="1:4" x14ac:dyDescent="0.3">
      <c r="A613" t="str">
        <f>MID(Tabla1[[#This Row],[ENLACE]],FIND("~",SUBSTITUTE(Tabla1[[#This Row],[ENLACE]],"/","~",2))+1,LEN(Tabla1[[#This Row],[ENLACE]]))</f>
        <v>los-angeles-galaxy</v>
      </c>
      <c r="B613" s="7" t="s">
        <v>511</v>
      </c>
      <c r="C613" t="str">
        <f>_xlfn.TEXTBEFORE(_xlfn.TEXTAFTER(Tabla1[[#This Row],[ENLACE]],"/",1),"/")</f>
        <v>usa</v>
      </c>
      <c r="D613" s="8" t="str">
        <f ca="1">IF(VLOOKUP(Tabla1[[#This Row],[PAIS]],$G$2:$H$34,2)="x","SI","NO")</f>
        <v>SI</v>
      </c>
    </row>
    <row r="614" spans="1:4" x14ac:dyDescent="0.3">
      <c r="A614" t="str">
        <f>MID(Tabla1[[#This Row],[ENLACE]],FIND("~",SUBSTITUTE(Tabla1[[#This Row],[ENLACE]],"/","~",2))+1,LEN(Tabla1[[#This Row],[ENLACE]]))</f>
        <v>minnesota-united-fc</v>
      </c>
      <c r="B614" t="s">
        <v>512</v>
      </c>
      <c r="C614" t="str">
        <f>_xlfn.TEXTBEFORE(_xlfn.TEXTAFTER(Tabla1[[#This Row],[ENLACE]],"/",1),"/")</f>
        <v>usa</v>
      </c>
      <c r="D614" s="8" t="str">
        <f ca="1">IF(VLOOKUP(Tabla1[[#This Row],[PAIS]],$G$2:$H$34,2)="x","SI","NO")</f>
        <v>SI</v>
      </c>
    </row>
    <row r="615" spans="1:4" x14ac:dyDescent="0.3">
      <c r="A615" t="str">
        <f>MID(Tabla1[[#This Row],[ENLACE]],FIND("~",SUBSTITUTE(Tabla1[[#This Row],[ENLACE]],"/","~",2))+1,LEN(Tabla1[[#This Row],[ENLACE]]))</f>
        <v>nashville-sc</v>
      </c>
      <c r="B615" s="7" t="s">
        <v>513</v>
      </c>
      <c r="C615" t="str">
        <f>_xlfn.TEXTBEFORE(_xlfn.TEXTAFTER(Tabla1[[#This Row],[ENLACE]],"/",1),"/")</f>
        <v>usa</v>
      </c>
      <c r="D615" s="8" t="str">
        <f ca="1">IF(VLOOKUP(Tabla1[[#This Row],[PAIS]],$G$2:$H$34,2)="x","SI","NO")</f>
        <v>SI</v>
      </c>
    </row>
    <row r="616" spans="1:4" x14ac:dyDescent="0.3">
      <c r="A616" t="str">
        <f>MID(Tabla1[[#This Row],[ENLACE]],FIND("~",SUBSTITUTE(Tabla1[[#This Row],[ENLACE]],"/","~",2))+1,LEN(Tabla1[[#This Row],[ENLACE]]))</f>
        <v>new-england-revolution</v>
      </c>
      <c r="B616" t="s">
        <v>514</v>
      </c>
      <c r="C616" t="str">
        <f>_xlfn.TEXTBEFORE(_xlfn.TEXTAFTER(Tabla1[[#This Row],[ENLACE]],"/",1),"/")</f>
        <v>usa</v>
      </c>
      <c r="D616" s="8" t="str">
        <f ca="1">IF(VLOOKUP(Tabla1[[#This Row],[PAIS]],$G$2:$H$34,2)="x","SI","NO")</f>
        <v>SI</v>
      </c>
    </row>
    <row r="617" spans="1:4" x14ac:dyDescent="0.3">
      <c r="A617" t="str">
        <f>MID(Tabla1[[#This Row],[ENLACE]],FIND("~",SUBSTITUTE(Tabla1[[#This Row],[ENLACE]],"/","~",2))+1,LEN(Tabla1[[#This Row],[ENLACE]]))</f>
        <v>new-york-city-fc</v>
      </c>
      <c r="B617" s="7" t="s">
        <v>515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SI</v>
      </c>
    </row>
    <row r="618" spans="1:4" x14ac:dyDescent="0.3">
      <c r="A618" t="str">
        <f>MID(Tabla1[[#This Row],[ENLACE]],FIND("~",SUBSTITUTE(Tabla1[[#This Row],[ENLACE]],"/","~",2))+1,LEN(Tabla1[[#This Row],[ENLACE]]))</f>
        <v>new-york-red-bulls</v>
      </c>
      <c r="B618" t="s">
        <v>516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SI</v>
      </c>
    </row>
    <row r="619" spans="1:4" x14ac:dyDescent="0.3">
      <c r="A619" t="str">
        <f>MID(Tabla1[[#This Row],[ENLACE]],FIND("~",SUBSTITUTE(Tabla1[[#This Row],[ENLACE]],"/","~",2))+1,LEN(Tabla1[[#This Row],[ENLACE]]))</f>
        <v>orlando-city-sc</v>
      </c>
      <c r="B619" s="7" t="s">
        <v>517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SI</v>
      </c>
    </row>
    <row r="620" spans="1:4" x14ac:dyDescent="0.3">
      <c r="A620" t="str">
        <f>MID(Tabla1[[#This Row],[ENLACE]],FIND("~",SUBSTITUTE(Tabla1[[#This Row],[ENLACE]],"/","~",2))+1,LEN(Tabla1[[#This Row],[ENLACE]]))</f>
        <v>philadelphia-union</v>
      </c>
      <c r="B620" t="s">
        <v>518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SI</v>
      </c>
    </row>
    <row r="621" spans="1:4" x14ac:dyDescent="0.3">
      <c r="A621" t="str">
        <f>MID(Tabla1[[#This Row],[ENLACE]],FIND("~",SUBSTITUTE(Tabla1[[#This Row],[ENLACE]],"/","~",2))+1,LEN(Tabla1[[#This Row],[ENLACE]]))</f>
        <v>portland-timbers</v>
      </c>
      <c r="B621" s="7" t="s">
        <v>519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SI</v>
      </c>
    </row>
    <row r="622" spans="1:4" x14ac:dyDescent="0.3">
      <c r="A622" t="str">
        <f>MID(Tabla1[[#This Row],[ENLACE]],FIND("~",SUBSTITUTE(Tabla1[[#This Row],[ENLACE]],"/","~",2))+1,LEN(Tabla1[[#This Row],[ENLACE]]))</f>
        <v>real-salt-lake</v>
      </c>
      <c r="B622" t="s">
        <v>520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SI</v>
      </c>
    </row>
    <row r="623" spans="1:4" x14ac:dyDescent="0.3">
      <c r="A623" t="str">
        <f>MID(Tabla1[[#This Row],[ENLACE]],FIND("~",SUBSTITUTE(Tabla1[[#This Row],[ENLACE]],"/","~",2))+1,LEN(Tabla1[[#This Row],[ENLACE]]))</f>
        <v>san-diego-fc</v>
      </c>
      <c r="B623" s="7" t="s">
        <v>521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SI</v>
      </c>
    </row>
    <row r="624" spans="1:4" x14ac:dyDescent="0.3">
      <c r="A624" t="str">
        <f>MID(Tabla1[[#This Row],[ENLACE]],FIND("~",SUBSTITUTE(Tabla1[[#This Row],[ENLACE]],"/","~",2))+1,LEN(Tabla1[[#This Row],[ENLACE]]))</f>
        <v>san-jose-earthquakes</v>
      </c>
      <c r="B624" t="s">
        <v>522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SI</v>
      </c>
    </row>
    <row r="625" spans="1:4" x14ac:dyDescent="0.3">
      <c r="A625" t="str">
        <f>MID(Tabla1[[#This Row],[ENLACE]],FIND("~",SUBSTITUTE(Tabla1[[#This Row],[ENLACE]],"/","~",2))+1,LEN(Tabla1[[#This Row],[ENLACE]]))</f>
        <v>seattle-sounders-fc</v>
      </c>
      <c r="B625" s="7" t="s">
        <v>523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SI</v>
      </c>
    </row>
    <row r="626" spans="1:4" x14ac:dyDescent="0.3">
      <c r="A626" t="str">
        <f>MID(Tabla1[[#This Row],[ENLACE]],FIND("~",SUBSTITUTE(Tabla1[[#This Row],[ENLACE]],"/","~",2))+1,LEN(Tabla1[[#This Row],[ENLACE]]))</f>
        <v>sporting-kansas-city</v>
      </c>
      <c r="B626" t="s">
        <v>524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SI</v>
      </c>
    </row>
    <row r="627" spans="1:4" x14ac:dyDescent="0.3">
      <c r="A627" t="str">
        <f>MID(Tabla1[[#This Row],[ENLACE]],FIND("~",SUBSTITUTE(Tabla1[[#This Row],[ENLACE]],"/","~",2))+1,LEN(Tabla1[[#This Row],[ENLACE]]))</f>
        <v>st-louis-city-sc</v>
      </c>
      <c r="B627" s="7" t="s">
        <v>525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SI</v>
      </c>
    </row>
    <row r="628" spans="1:4" x14ac:dyDescent="0.3">
      <c r="A628" t="str">
        <f>MID(Tabla1[[#This Row],[ENLACE]],FIND("~",SUBSTITUTE(Tabla1[[#This Row],[ENLACE]],"/","~",2))+1,LEN(Tabla1[[#This Row],[ENLACE]]))</f>
        <v>toronto-fc</v>
      </c>
      <c r="B628" t="s">
        <v>526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SI</v>
      </c>
    </row>
    <row r="629" spans="1:4" x14ac:dyDescent="0.3">
      <c r="A629" t="str">
        <f>MID(Tabla1[[#This Row],[ENLACE]],FIND("~",SUBSTITUTE(Tabla1[[#This Row],[ENLACE]],"/","~",2))+1,LEN(Tabla1[[#This Row],[ENLACE]]))</f>
        <v>vancouver-whitecaps-fc</v>
      </c>
      <c r="B629" s="7" t="s">
        <v>527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SI</v>
      </c>
    </row>
  </sheetData>
  <conditionalFormatting sqref="J2:J33">
    <cfRule type="containsText" dxfId="0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2026-03-04T01:06:54Z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