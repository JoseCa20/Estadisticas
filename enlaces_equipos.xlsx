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53AC76EC-A780-41A2-81F3-76B242781F97}" xr6:coauthVersionLast="47" xr6:coauthVersionMax="47" xr10:uidLastSave="{00000000-0000-0000-0000-000000000000}"/>
  <bookViews>
    <workbookView xWindow="0" yWindow="0" windowWidth="23040" windowHeight="12240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80" i="1"/>
  <c r="D81" i="1"/>
  <c r="D82" i="1"/>
  <c r="D83" i="1"/>
  <c r="D92" i="1"/>
  <c r="D93" i="1"/>
  <c r="D112" i="1"/>
  <c r="D113" i="1"/>
  <c r="D151" i="1"/>
  <c r="D166" i="1"/>
  <c r="D167" i="1"/>
  <c r="D182" i="1"/>
  <c r="D183" i="1"/>
  <c r="D184" i="1"/>
  <c r="D191" i="1"/>
  <c r="D192" i="1"/>
  <c r="D194" i="1"/>
  <c r="D195" i="1"/>
  <c r="D197" i="1"/>
  <c r="D243" i="1"/>
  <c r="D244" i="1"/>
  <c r="D245" i="1"/>
  <c r="D297" i="1"/>
  <c r="D298" i="1"/>
  <c r="D300" i="1"/>
  <c r="D301" i="1"/>
  <c r="D312" i="1"/>
  <c r="D313" i="1"/>
  <c r="D323" i="1"/>
  <c r="D324" i="1"/>
  <c r="D325" i="1"/>
  <c r="D348" i="1"/>
  <c r="D349" i="1"/>
  <c r="D397" i="1"/>
  <c r="D409" i="1"/>
  <c r="D479" i="1"/>
  <c r="D480" i="1"/>
  <c r="D536" i="1"/>
  <c r="D537" i="1"/>
  <c r="D538" i="1"/>
  <c r="D539" i="1"/>
  <c r="D547" i="1"/>
  <c r="D548" i="1"/>
  <c r="D550" i="1"/>
  <c r="D551" i="1"/>
  <c r="D574" i="1"/>
  <c r="D575" i="1"/>
  <c r="D583" i="1"/>
  <c r="D584" i="1"/>
  <c r="D585" i="1"/>
  <c r="D604" i="1"/>
  <c r="D606" i="1"/>
  <c r="D608" i="1"/>
  <c r="D618" i="1"/>
  <c r="D619" i="1"/>
  <c r="D620" i="1"/>
  <c r="D621" i="1"/>
  <c r="I34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C605" i="1"/>
  <c r="D605" i="1" s="1"/>
  <c r="C606" i="1"/>
  <c r="C607" i="1"/>
  <c r="D607" i="1" s="1"/>
  <c r="C608" i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C619" i="1"/>
  <c r="C620" i="1"/>
  <c r="C621" i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C183" i="1"/>
  <c r="C184" i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C192" i="1"/>
  <c r="C193" i="1"/>
  <c r="D193" i="1" s="1"/>
  <c r="C194" i="1"/>
  <c r="C19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C313" i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C81" i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C93" i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C298" i="1"/>
  <c r="C299" i="1"/>
  <c r="D299" i="1" s="1"/>
  <c r="C300" i="1"/>
  <c r="C301" i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C324" i="1"/>
  <c r="C325" i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C480" i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C537" i="1"/>
  <c r="C538" i="1"/>
  <c r="C539" i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C548" i="1"/>
  <c r="C549" i="1"/>
  <c r="D549" i="1" s="1"/>
  <c r="C550" i="1"/>
  <c r="C551" i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C575" i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C584" i="1"/>
  <c r="C585" i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08" i="1" l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H2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<sst xmlns="http://schemas.openxmlformats.org/spreadsheetml/2006/main" count="704" uniqueCount="629">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</sst>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22" totalsRowShown="0" headerRowDxfId="5">
  <autoFilter ref="A1:E622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22"/>
  <sheetViews>
    <sheetView tabSelected="1" workbookViewId="0">
      <selection activeCell="K20" sqref="K20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ca="1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ca="1">IF(J3&gt;TODAY(),"","X")</f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ref="I4:I34" ca="1" si="0">IF(J4&gt;TODAY(),"","X")</f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529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530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531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581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533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534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526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527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528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582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583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584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585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586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486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487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488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489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490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537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491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492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538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493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494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495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496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497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498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499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578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578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607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608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514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515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516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517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518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519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575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521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522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576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523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le-mans-fc</v>
      </c>
      <c r="B256" s="2" t="s">
        <v>619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rc-lens</v>
      </c>
      <c r="B257" s="5" t="s">
        <v>231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lille-osc</v>
      </c>
      <c r="B258" s="2" t="s">
        <v>232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fc-lorient</v>
      </c>
      <c r="B259" s="5" t="s">
        <v>469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olympique-lyonnais</v>
      </c>
      <c r="B260" s="2" t="s">
        <v>233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olympique-de-marseille</v>
      </c>
      <c r="B261" s="5" t="s">
        <v>234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ogc-nice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paris-fc</v>
      </c>
      <c r="B264" s="2" t="s">
        <v>470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paris-saint-germain-fc</v>
      </c>
      <c r="B265" s="5" t="s">
        <v>237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stade-rennais-fc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rc-strasbourg-alsace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toulouse-fc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troyes-ac</v>
      </c>
      <c r="B269" s="5" t="s">
        <v>620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sv-elversberg</v>
      </c>
      <c r="B274" s="2" t="s">
        <v>621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fc-koln</v>
      </c>
      <c r="B275" s="5" t="s">
        <v>466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eintracht-frankfurt</v>
      </c>
      <c r="B276" s="2" t="s">
        <v>65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sc-freiburg</v>
      </c>
      <c r="B277" s="5" t="s">
        <v>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hamburger-sv</v>
      </c>
      <c r="B278" s="2" t="s">
        <v>467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sc-paderborn</v>
      </c>
      <c r="B283" s="5" t="s">
        <v>622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rb-leipzig</v>
      </c>
      <c r="B284" s="2" t="s">
        <v>73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schalke-04</v>
      </c>
      <c r="B285" s="5" t="s">
        <v>623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vfb-stuttgart</v>
      </c>
      <c r="B286" s="2" t="s">
        <v>75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union-berlin</v>
      </c>
      <c r="B287" s="5" t="s">
        <v>76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241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242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595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243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244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245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246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247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248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249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250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251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596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474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aris-thessaloniki-fc</v>
      </c>
      <c r="B307" s="5" t="s">
        <v>475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asteras-tripolis-fc</v>
      </c>
      <c r="B308" s="5" t="s">
        <v>476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atromitos-fc</v>
      </c>
      <c r="B309" s="5" t="s">
        <v>477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iraklis-fc</v>
      </c>
      <c r="B310" s="5" t="s">
        <v>624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kalamata-fc</v>
      </c>
      <c r="B311" s="5" t="s">
        <v>625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ae-kifisia-fc</v>
      </c>
      <c r="B312" s="5" t="s">
        <v>478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levadiakos-fc</v>
      </c>
      <c r="B313" s="5" t="s">
        <v>479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ofi-crete-fc</v>
      </c>
      <c r="B314" s="5" t="s">
        <v>480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olympiacos-fc</v>
      </c>
      <c r="B315" s="5" t="s">
        <v>481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panathinaikos-fc</v>
      </c>
      <c r="B316" s="5" t="s">
        <v>482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panetolikos-fc</v>
      </c>
      <c r="B317" s="5" t="s">
        <v>483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484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485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252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253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254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255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256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257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acf-fiorentina</v>
      </c>
      <c r="B326" s="2" t="s">
        <v>258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frosinone-calcio</v>
      </c>
      <c r="B327" s="5" t="s">
        <v>626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259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260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261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262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263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ac-monza</v>
      </c>
      <c r="B333" s="5" t="s">
        <v>627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ssc-napoli</v>
      </c>
      <c r="B334" s="2" t="s">
        <v>264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parma-calcio-1913</v>
      </c>
      <c r="B335" s="5" t="s">
        <v>265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468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266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venezia-fc</v>
      </c>
      <c r="B339" s="5" t="s">
        <v>628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268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269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270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271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272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273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274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275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276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277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278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279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280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281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282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283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284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285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286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287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597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598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288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289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290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291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292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293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294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295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296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297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298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299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599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300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301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302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303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304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305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306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610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308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309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311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312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313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314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315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316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317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318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319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320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321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535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322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323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324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325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326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536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327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328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329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330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331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332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333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334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335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336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337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338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339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340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341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587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342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588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589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612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345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346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347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348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349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350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351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352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353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354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355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613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356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357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358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359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360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361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362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363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364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365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366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367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591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368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369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370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592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371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373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600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601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374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375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500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376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377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378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379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380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381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602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382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383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384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385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386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501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387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388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389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390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391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392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393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394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395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396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593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397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614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471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472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408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398</v>
      </c>
      <c r="C512" t="str">
        <f>_xlfn.TEXTBEFORE(_xlfn.TEXTAFTER(Tabla1[[#This Row],[ENLACE]],"/",1),"/")</f>
        <v>spain</v>
      </c>
      <c r="D512" t="s">
        <v>579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399</v>
      </c>
      <c r="C513" t="str">
        <f>_xlfn.TEXTBEFORE(_xlfn.TEXTAFTER(Tabla1[[#This Row],[ENLACE]],"/",1),"/")</f>
        <v>spain</v>
      </c>
      <c r="D513" t="s">
        <v>579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463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400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401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402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615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464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403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616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405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406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473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465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617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618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409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410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411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412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413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414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415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416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417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418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541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419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542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421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543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422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423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424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425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426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427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428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429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430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594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431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432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433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434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435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436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437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438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439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440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441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442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443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444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445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446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447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448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449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450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451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452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453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454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455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456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457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458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459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460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461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462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544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545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546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547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548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549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550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551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552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553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554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555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556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557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558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559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560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561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562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563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564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565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566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567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568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569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570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571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572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573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574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</sheetData>
  <conditionalFormatting sqref="K2:K35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2026-08-25T20:31:15Z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