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396" documentId="13_ncr:1_{C9A4DFC4-E548-46DD-BD70-6930DD5E65F9}" xr6:coauthVersionLast="47" xr6:coauthVersionMax="47" xr10:uidLastSave="{3EDA0BE9-CF94-48EF-82DF-76D7B9226599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510" i="1" l="1"/>
  <c r="D308" i="1"/>
  <c r="D183" i="1"/>
  <c r="D204" i="1"/>
  <c r="D143" i="1"/>
  <c r="D530" i="1"/>
  <c r="D186" i="1"/>
  <c r="D280" i="1"/>
  <c r="D567" i="1"/>
  <c r="D435" i="1"/>
  <c r="D606" i="1"/>
  <c r="D256" i="1"/>
  <c r="D218" i="1"/>
  <c r="D611" i="1"/>
  <c r="D180" i="1"/>
  <c r="D562" i="1"/>
  <c r="D508" i="1"/>
  <c r="D36" i="1"/>
  <c r="D498" i="1"/>
  <c r="D116" i="1"/>
  <c r="D447" i="1"/>
  <c r="D232" i="1"/>
  <c r="D134" i="1"/>
  <c r="D599" i="1"/>
  <c r="D168" i="1"/>
  <c r="D526" i="1"/>
  <c r="D83" i="1"/>
  <c r="D459" i="1"/>
  <c r="D473" i="1"/>
  <c r="D150" i="1"/>
  <c r="D382" i="1"/>
  <c r="D295" i="1"/>
  <c r="D401" i="1"/>
  <c r="D608" i="1"/>
  <c r="D482" i="1"/>
  <c r="D92" i="1"/>
  <c r="D412" i="1"/>
  <c r="D208" i="1"/>
  <c r="D601" i="1"/>
  <c r="D122" i="1"/>
  <c r="D563" i="1"/>
  <c r="D132" i="1"/>
  <c r="D514" i="1"/>
  <c r="D616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28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592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21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617" i="1"/>
  <c r="D354" i="1"/>
  <c r="D137" i="1"/>
  <c r="D429" i="1"/>
  <c r="D533" i="1"/>
  <c r="D243" i="1"/>
  <c r="D433" i="1"/>
  <c r="D421" i="1"/>
  <c r="D396" i="1"/>
  <c r="D397" i="1"/>
  <c r="D347" i="1"/>
  <c r="D154" i="1"/>
  <c r="D614" i="1"/>
  <c r="D437" i="1"/>
  <c r="D494" i="1"/>
  <c r="D59" i="1"/>
  <c r="D242" i="1"/>
  <c r="D337" i="1"/>
  <c r="D379" i="1"/>
  <c r="D460" i="1"/>
  <c r="D33" i="1"/>
  <c r="D171" i="1"/>
  <c r="D229" i="1"/>
  <c r="D313" i="1"/>
  <c r="D596" i="1"/>
  <c r="D471" i="1"/>
  <c r="D151" i="1"/>
  <c r="D127" i="1"/>
  <c r="D341" i="1"/>
  <c r="D474" i="1"/>
  <c r="D70" i="1"/>
  <c r="D345" i="1"/>
  <c r="D472" i="1"/>
  <c r="D558" i="1"/>
  <c r="D609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597" i="1"/>
  <c r="D260" i="1"/>
  <c r="D591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593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598" i="1"/>
  <c r="D588" i="1"/>
  <c r="D348" i="1"/>
  <c r="D623" i="1"/>
  <c r="D314" i="1"/>
  <c r="D315" i="1"/>
  <c r="D549" i="1"/>
  <c r="D91" i="1"/>
  <c r="D164" i="1"/>
  <c r="D411" i="1"/>
  <c r="D499" i="1"/>
  <c r="D356" i="1"/>
  <c r="D61" i="1"/>
  <c r="D525" i="1"/>
  <c r="D595" i="1"/>
  <c r="D189" i="1"/>
  <c r="D368" i="1"/>
  <c r="D405" i="1"/>
  <c r="D196" i="1"/>
  <c r="D548" i="1"/>
  <c r="D388" i="1"/>
  <c r="D334" i="1"/>
  <c r="D311" i="1"/>
  <c r="D610" i="1"/>
  <c r="D52" i="1"/>
  <c r="D360" i="1"/>
  <c r="D53" i="1"/>
  <c r="D74" i="1"/>
  <c r="D350" i="1"/>
  <c r="D43" i="1"/>
  <c r="D136" i="1"/>
  <c r="D585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22" i="1"/>
  <c r="D64" i="1"/>
  <c r="D372" i="1"/>
  <c r="D65" i="1"/>
  <c r="D86" i="1"/>
  <c r="D410" i="1"/>
  <c r="D55" i="1"/>
  <c r="D160" i="1"/>
  <c r="D605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18" i="1"/>
  <c r="D417" i="1"/>
  <c r="D223" i="1"/>
  <c r="D296" i="1"/>
  <c r="D81" i="1"/>
  <c r="D80" i="1"/>
  <c r="D537" i="1"/>
  <c r="D307" i="1"/>
  <c r="D626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612" i="1"/>
  <c r="D217" i="1"/>
  <c r="D430" i="1"/>
  <c r="D155" i="1"/>
  <c r="D298" i="1"/>
  <c r="D197" i="1"/>
  <c r="D245" i="1"/>
  <c r="D225" i="1"/>
  <c r="D287" i="1"/>
  <c r="D250" i="1"/>
  <c r="D50" i="1"/>
  <c r="D615" i="1"/>
  <c r="D545" i="1"/>
  <c r="D357" i="1"/>
  <c r="D344" i="1"/>
  <c r="D620" i="1"/>
  <c r="D249" i="1"/>
  <c r="D45" i="1"/>
  <c r="D149" i="1"/>
  <c r="D507" i="1"/>
  <c r="D340" i="1"/>
  <c r="D293" i="1"/>
  <c r="D79" i="1"/>
  <c r="D212" i="1"/>
  <c r="D607" i="1"/>
  <c r="D590" i="1"/>
  <c r="D233" i="1"/>
  <c r="D485" i="1"/>
  <c r="D536" i="1"/>
  <c r="D90" i="1"/>
  <c r="D390" i="1"/>
  <c r="D351" i="1"/>
  <c r="D159" i="1"/>
  <c r="D589" i="1"/>
  <c r="D398" i="1"/>
  <c r="D158" i="1"/>
  <c r="D624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602" i="1"/>
  <c r="D103" i="1"/>
  <c r="D381" i="1"/>
  <c r="D594" i="1"/>
  <c r="D294" i="1"/>
  <c r="D247" i="1"/>
  <c r="D49" i="1"/>
  <c r="D188" i="1"/>
  <c r="D571" i="1"/>
  <c r="D570" i="1"/>
  <c r="D209" i="1"/>
  <c r="D449" i="1"/>
  <c r="D500" i="1"/>
  <c r="D627" i="1"/>
  <c r="D328" i="1"/>
  <c r="D339" i="1"/>
  <c r="D147" i="1"/>
  <c r="D577" i="1"/>
  <c r="D386" i="1"/>
  <c r="D146" i="1"/>
  <c r="D600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582" i="1"/>
  <c r="D105" i="1"/>
  <c r="D244" i="1"/>
  <c r="D364" i="1"/>
  <c r="D452" i="1"/>
  <c r="D522" i="1"/>
  <c r="D603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586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29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604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613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583" i="1"/>
  <c r="D584" i="1"/>
  <c r="D221" i="1"/>
  <c r="D439" i="1"/>
  <c r="D44" i="1"/>
  <c r="D475" i="1"/>
  <c r="D436" i="1"/>
  <c r="D619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587" i="1"/>
  <c r="D109" i="1"/>
  <c r="D480" i="1"/>
  <c r="D66" i="1"/>
  <c r="D194" i="1"/>
  <c r="D338" i="1"/>
  <c r="D481" i="1"/>
  <c r="D625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<sst xmlns="http://schemas.openxmlformats.org/spreadsheetml/2006/main" count="661" uniqueCount="615">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</sst>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29" totalsRowShown="0" headerRowDxfId="4">
  <autoFilter ref="A1:D629" xr:uid="{1329FF03-B366-468C-915B-7B9006981626}"/>
  <sortState xmlns:xlrd2="http://schemas.microsoft.com/office/spreadsheetml/2017/richdata2" ref="A2:C629">
    <sortCondition ref="C1:C629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29"/>
  <sheetViews>
    <sheetView tabSelected="1" topLeftCell="A8" workbookViewId="0">
      <selection activeCell="J34" sqref="J34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600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3">_xlfn.UNIQUE(Tabla1[PAIS])</f>
        <v>argentina</v>
      </c>
      <c r="H2" s="9" t="str">
        <f ca="1">IF(I2&gt;TODAY(),"","X")</f>
        <v>X</v>
      </c>
      <c r="I2" s="10">
        <v>46044</v>
      </c>
      <c r="J2" s="9" t="s">
        <v>601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601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3" ca="1" si="0">IF(I4&gt;TODAY(),"","X")</f>
        <v>X</v>
      </c>
      <c r="I4" s="10">
        <v>46059</v>
      </c>
      <c r="J4" s="9" t="s">
        <v>601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601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 t="s">
        <v>601</v>
      </c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>X</v>
      </c>
      <c r="I7" s="10">
        <v>46060</v>
      </c>
      <c r="J7" s="9" t="s">
        <v>601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 t="s">
        <v>601</v>
      </c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601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601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601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>X</v>
      </c>
      <c r="I12" s="10">
        <v>46059</v>
      </c>
      <c r="J12" s="9" t="s">
        <v>601</v>
      </c>
    </row>
    <row r="13" spans="1:10" x14ac:dyDescent="0.3">
      <c r="A13" t="str">
        <f>MID(Tabla1[[#This Row],[ENLACE]],FIND("~",SUBSTITUTE(Tabla1[[#This Row],[ENLACE]],"/","~",2))+1,LEN(Tabla1[[#This Row],[ENLACE]]))</f>
        <v>club-de-gimnasia-la-plata</v>
      </c>
      <c r="B13" t="s">
        <v>149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/>
      </c>
      <c r="I13" s="10">
        <v>46073</v>
      </c>
      <c r="J13" s="9" t="s">
        <v>601</v>
      </c>
    </row>
    <row r="14" spans="1:10" x14ac:dyDescent="0.3">
      <c r="A14" t="str">
        <f>MID(Tabla1[[#This Row],[ENLACE]],FIND("~",SUBSTITUTE(Tabla1[[#This Row],[ENLACE]],"/","~",2))+1,LEN(Tabla1[[#This Row],[ENLACE]]))</f>
        <v>godoy-cruz</v>
      </c>
      <c r="B14" s="7" t="s">
        <v>150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601</v>
      </c>
    </row>
    <row r="15" spans="1:10" x14ac:dyDescent="0.3">
      <c r="A15" t="str">
        <f>MID(Tabla1[[#This Row],[ENLACE]],FIND("~",SUBSTITUTE(Tabla1[[#This Row],[ENLACE]],"/","~",2))+1,LEN(Tabla1[[#This Row],[ENLACE]]))</f>
        <v>club-atletico-huracan</v>
      </c>
      <c r="B15" t="s">
        <v>151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/>
      </c>
      <c r="I15" s="10">
        <v>46116</v>
      </c>
      <c r="J15" s="9"/>
    </row>
    <row r="16" spans="1:10" x14ac:dyDescent="0.3">
      <c r="A16" t="str">
        <f>MID(Tabla1[[#This Row],[ENLACE]],FIND("~",SUBSTITUTE(Tabla1[[#This Row],[ENLACE]],"/","~",2))+1,LEN(Tabla1[[#This Row],[ENLACE]]))</f>
        <v>club-sportivo-independiente-rivadavia</v>
      </c>
      <c r="B16" s="7" t="s">
        <v>152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601</v>
      </c>
    </row>
    <row r="17" spans="1:10" x14ac:dyDescent="0.3">
      <c r="A17" t="str">
        <f>MID(Tabla1[[#This Row],[ENLACE]],FIND("~",SUBSTITUTE(Tabla1[[#This Row],[ENLACE]],"/","~",2))+1,LEN(Tabla1[[#This Row],[ENLACE]]))</f>
        <v>club-atletico-independiente</v>
      </c>
      <c r="B17" t="s">
        <v>153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601</v>
      </c>
    </row>
    <row r="18" spans="1:10" x14ac:dyDescent="0.3">
      <c r="A18" t="str">
        <f>MID(Tabla1[[#This Row],[ENLACE]],FIND("~",SUBSTITUTE(Tabla1[[#This Row],[ENLACE]],"/","~",2))+1,LEN(Tabla1[[#This Row],[ENLACE]]))</f>
        <v>instituto-atletico-central-cordoba</v>
      </c>
      <c r="B18" s="7" t="s">
        <v>154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601</v>
      </c>
    </row>
    <row r="19" spans="1:10" x14ac:dyDescent="0.3">
      <c r="A19" t="str">
        <f>MID(Tabla1[[#This Row],[ENLACE]],FIND("~",SUBSTITUTE(Tabla1[[#This Row],[ENLACE]],"/","~",2))+1,LEN(Tabla1[[#This Row],[ENLACE]]))</f>
        <v>club-atletico-lanus</v>
      </c>
      <c r="B19" t="s">
        <v>155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601</v>
      </c>
    </row>
    <row r="20" spans="1:10" x14ac:dyDescent="0.3">
      <c r="A20" t="str">
        <f>MID(Tabla1[[#This Row],[ENLACE]],FIND("~",SUBSTITUTE(Tabla1[[#This Row],[ENLACE]],"/","~",2))+1,LEN(Tabla1[[#This Row],[ENLACE]]))</f>
        <v>club-atletico-newells-old-boys</v>
      </c>
      <c r="B20" s="7" t="s">
        <v>156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601</v>
      </c>
    </row>
    <row r="21" spans="1:10" x14ac:dyDescent="0.3">
      <c r="A21" t="str">
        <f>MID(Tabla1[[#This Row],[ENLACE]],FIND("~",SUBSTITUTE(Tabla1[[#This Row],[ENLACE]],"/","~",2))+1,LEN(Tabla1[[#This Row],[ENLACE]]))</f>
        <v>club-atletico-platense</v>
      </c>
      <c r="B21" t="s">
        <v>157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601</v>
      </c>
    </row>
    <row r="22" spans="1:10" x14ac:dyDescent="0.3">
      <c r="A22" t="str">
        <f>MID(Tabla1[[#This Row],[ENLACE]],FIND("~",SUBSTITUTE(Tabla1[[#This Row],[ENLACE]],"/","~",2))+1,LEN(Tabla1[[#This Row],[ENLACE]]))</f>
        <v>racing-club-de-avellaneda</v>
      </c>
      <c r="B22" s="2" t="s">
        <v>158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/>
      </c>
      <c r="I22" s="10">
        <v>46095</v>
      </c>
      <c r="J22" s="9"/>
    </row>
    <row r="23" spans="1:10" x14ac:dyDescent="0.3">
      <c r="A23" t="str">
        <f>MID(Tabla1[[#This Row],[ENLACE]],FIND("~",SUBSTITUTE(Tabla1[[#This Row],[ENLACE]],"/","~",2))+1,LEN(Tabla1[[#This Row],[ENLACE]]))</f>
        <v>club-atletico-river-plate</v>
      </c>
      <c r="B23" s="3" t="s">
        <v>159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 t="s">
        <v>601</v>
      </c>
    </row>
    <row r="24" spans="1:10" x14ac:dyDescent="0.3">
      <c r="A24" t="str">
        <f>MID(Tabla1[[#This Row],[ENLACE]],FIND("~",SUBSTITUTE(Tabla1[[#This Row],[ENLACE]],"/","~",2))+1,LEN(Tabla1[[#This Row],[ENLACE]]))</f>
        <v>club-atletico-rosario-central</v>
      </c>
      <c r="B24" s="4" t="s">
        <v>160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601</v>
      </c>
    </row>
    <row r="25" spans="1:10" x14ac:dyDescent="0.3">
      <c r="A25" t="str">
        <f>MID(Tabla1[[#This Row],[ENLACE]],FIND("~",SUBSTITUTE(Tabla1[[#This Row],[ENLACE]],"/","~",2))+1,LEN(Tabla1[[#This Row],[ENLACE]]))</f>
        <v>san-lorenzo-de-almagro</v>
      </c>
      <c r="B25" s="3" t="s">
        <v>161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601</v>
      </c>
    </row>
    <row r="26" spans="1:10" x14ac:dyDescent="0.3">
      <c r="A26" t="str">
        <f>MID(Tabla1[[#This Row],[ENLACE]],FIND("~",SUBSTITUTE(Tabla1[[#This Row],[ENLACE]],"/","~",2))+1,LEN(Tabla1[[#This Row],[ENLACE]]))</f>
        <v>san-martin-de-san-juan</v>
      </c>
      <c r="B26" s="4" t="s">
        <v>162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601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163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601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164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601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165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601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166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/>
      </c>
      <c r="I30" s="10">
        <v>46117</v>
      </c>
      <c r="J30" s="9"/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167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601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576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turkey</v>
      </c>
      <c r="H32" s="9" t="str">
        <f t="shared" ca="1" si="0"/>
        <v>X</v>
      </c>
      <c r="I32" s="10">
        <v>46039</v>
      </c>
      <c r="J32" s="9" t="s">
        <v>601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577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usa</v>
      </c>
      <c r="H33" s="9" t="str">
        <f t="shared" ca="1" si="0"/>
        <v/>
      </c>
      <c r="I33" s="10">
        <v>46074</v>
      </c>
      <c r="J33" s="9" t="s">
        <v>601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578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579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580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581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582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583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584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585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586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587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SI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SI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SI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SI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SI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SI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SI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SI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SI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SI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SI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SI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605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606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607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608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SI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SI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SI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SI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SI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SI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SI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SI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SI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SI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SI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SI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SI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SI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SI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SI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178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179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180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181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609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182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183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184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185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186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187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188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189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190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191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610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602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603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604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168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169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170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171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172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173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174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175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176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177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192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193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194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195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196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197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198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199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200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201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202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203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204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205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206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207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208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SI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209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SI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210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SI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211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SI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212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SI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213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SI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214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SI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215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SI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216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SI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217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SI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218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SI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219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SI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559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NO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560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NO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561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NO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562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NO</v>
      </c>
    </row>
    <row r="186" spans="1:4" x14ac:dyDescent="0.3">
      <c r="A186" t="str">
        <f>MID(Tabla1[[#This Row],[ENLACE]],FIND("~",SUBSTITUTE(Tabla1[[#This Row],[ENLACE]],"/","~",2))+1,LEN(Tabla1[[#This Row],[ENLACE]]))</f>
        <v>cs-emelec</v>
      </c>
      <c r="B186" s="5" t="s">
        <v>563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NO</v>
      </c>
    </row>
    <row r="187" spans="1:4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613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NO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564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NO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565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NO</v>
      </c>
    </row>
    <row r="190" spans="1:4" x14ac:dyDescent="0.3">
      <c r="A190" t="str">
        <f>MID(Tabla1[[#This Row],[ENLACE]],FIND("~",SUBSTITUTE(Tabla1[[#This Row],[ENLACE]],"/","~",2))+1,LEN(Tabla1[[#This Row],[ENLACE]]))</f>
        <v>leones-fc</v>
      </c>
      <c r="B190" s="5" t="s">
        <v>614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NO</v>
      </c>
    </row>
    <row r="191" spans="1:4" x14ac:dyDescent="0.3">
      <c r="A191" t="str">
        <f>MID(Tabla1[[#This Row],[ENLACE]],FIND("~",SUBSTITUTE(Tabla1[[#This Row],[ENLACE]],"/","~",2))+1,LEN(Tabla1[[#This Row],[ENLACE]]))</f>
        <v>libertad-fc</v>
      </c>
      <c r="B191" s="5" t="s">
        <v>566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NO</v>
      </c>
    </row>
    <row r="192" spans="1:4" x14ac:dyDescent="0.3">
      <c r="A192" t="str">
        <f>MID(Tabla1[[#This Row],[ENLACE]],FIND("~",SUBSTITUTE(Tabla1[[#This Row],[ENLACE]],"/","~",2))+1,LEN(Tabla1[[#This Row],[ENLACE]]))</f>
        <v>csd-macara</v>
      </c>
      <c r="B192" s="5" t="s">
        <v>567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NO</v>
      </c>
    </row>
    <row r="193" spans="1:4" x14ac:dyDescent="0.3">
      <c r="A193" t="str">
        <f>MID(Tabla1[[#This Row],[ENLACE]],FIND("~",SUBSTITUTE(Tabla1[[#This Row],[ENLACE]],"/","~",2))+1,LEN(Tabla1[[#This Row],[ENLACE]]))</f>
        <v>manta-fc</v>
      </c>
      <c r="B193" s="5" t="s">
        <v>568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NO</v>
      </c>
    </row>
    <row r="194" spans="1:4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569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NO</v>
      </c>
    </row>
    <row r="195" spans="1:4" x14ac:dyDescent="0.3">
      <c r="A195" t="str">
        <f>MID(Tabla1[[#This Row],[ENLACE]],FIND("~",SUBSTITUTE(Tabla1[[#This Row],[ENLACE]],"/","~",2))+1,LEN(Tabla1[[#This Row],[ENLACE]]))</f>
        <v>orense-sc</v>
      </c>
      <c r="B195" s="5" t="s">
        <v>570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NO</v>
      </c>
    </row>
    <row r="196" spans="1:4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571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NO</v>
      </c>
    </row>
    <row r="197" spans="1:4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572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NO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220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221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222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223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224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225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226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227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228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229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230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231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232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233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234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235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236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237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238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239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240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241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242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243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588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NO</v>
      </c>
    </row>
    <row r="243" spans="1:4" x14ac:dyDescent="0.3">
      <c r="A243" t="str">
        <f>MID(Tabla1[[#This Row],[ENLACE]],FIND("~",SUBSTITUTE(Tabla1[[#This Row],[ENLACE]],"/","~",2))+1,LEN(Tabla1[[#This Row],[ENLACE]]))</f>
        <v>fc-haka</v>
      </c>
      <c r="B243" s="5" t="s">
        <v>589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NO</v>
      </c>
    </row>
    <row r="244" spans="1:4" x14ac:dyDescent="0.3">
      <c r="A244" t="str">
        <f>MID(Tabla1[[#This Row],[ENLACE]],FIND("~",SUBSTITUTE(Tabla1[[#This Row],[ENLACE]],"/","~",2))+1,LEN(Tabla1[[#This Row],[ENLACE]]))</f>
        <v>hjk-helsinki</v>
      </c>
      <c r="B244" s="5" t="s">
        <v>590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NO</v>
      </c>
    </row>
    <row r="245" spans="1:4" x14ac:dyDescent="0.3">
      <c r="A245" t="str">
        <f>MID(Tabla1[[#This Row],[ENLACE]],FIND("~",SUBSTITUTE(Tabla1[[#This Row],[ENLACE]],"/","~",2))+1,LEN(Tabla1[[#This Row],[ENLACE]]))</f>
        <v>fc-ilves</v>
      </c>
      <c r="B245" s="5" t="s">
        <v>591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NO</v>
      </c>
    </row>
    <row r="246" spans="1:4" x14ac:dyDescent="0.3">
      <c r="A246" t="str">
        <f>MID(Tabla1[[#This Row],[ENLACE]],FIND("~",SUBSTITUTE(Tabla1[[#This Row],[ENLACE]],"/","~",2))+1,LEN(Tabla1[[#This Row],[ENLACE]]))</f>
        <v>fc-inter-turku</v>
      </c>
      <c r="B246" s="5" t="s">
        <v>592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NO</v>
      </c>
    </row>
    <row r="247" spans="1:4" x14ac:dyDescent="0.3">
      <c r="A247" t="str">
        <f>MID(Tabla1[[#This Row],[ENLACE]],FIND("~",SUBSTITUTE(Tabla1[[#This Row],[ENLACE]],"/","~",2))+1,LEN(Tabla1[[#This Row],[ENLACE]]))</f>
        <v>ff-jaro</v>
      </c>
      <c r="B247" s="5" t="s">
        <v>593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NO</v>
      </c>
    </row>
    <row r="248" spans="1:4" x14ac:dyDescent="0.3">
      <c r="A248" t="str">
        <f>MID(Tabla1[[#This Row],[ENLACE]],FIND("~",SUBSTITUTE(Tabla1[[#This Row],[ENLACE]],"/","~",2))+1,LEN(Tabla1[[#This Row],[ENLACE]]))</f>
        <v>kotkan-tyovaen-palloilijat</v>
      </c>
      <c r="B248" s="5" t="s">
        <v>594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NO</v>
      </c>
    </row>
    <row r="249" spans="1:4" x14ac:dyDescent="0.3">
      <c r="A249" t="str">
        <f>MID(Tabla1[[#This Row],[ENLACE]],FIND("~",SUBSTITUTE(Tabla1[[#This Row],[ENLACE]],"/","~",2))+1,LEN(Tabla1[[#This Row],[ENLACE]]))</f>
        <v>kuopion-palloseura</v>
      </c>
      <c r="B249" s="5" t="s">
        <v>595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NO</v>
      </c>
    </row>
    <row r="250" spans="1:4" x14ac:dyDescent="0.3">
      <c r="A250" t="str">
        <f>MID(Tabla1[[#This Row],[ENLACE]],FIND("~",SUBSTITUTE(Tabla1[[#This Row],[ENLACE]],"/","~",2))+1,LEN(Tabla1[[#This Row],[ENLACE]]))</f>
        <v>ifk-mariehamn</v>
      </c>
      <c r="B250" s="5" t="s">
        <v>596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NO</v>
      </c>
    </row>
    <row r="251" spans="1:4" x14ac:dyDescent="0.3">
      <c r="A251" t="str">
        <f>MID(Tabla1[[#This Row],[ENLACE]],FIND("~",SUBSTITUTE(Tabla1[[#This Row],[ENLACE]],"/","~",2))+1,LEN(Tabla1[[#This Row],[ENLACE]]))</f>
        <v>ac-oulu</v>
      </c>
      <c r="B251" s="5" t="s">
        <v>597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NO</v>
      </c>
    </row>
    <row r="252" spans="1:4" x14ac:dyDescent="0.3">
      <c r="A252" t="str">
        <f>MID(Tabla1[[#This Row],[ENLACE]],FIND("~",SUBSTITUTE(Tabla1[[#This Row],[ENLACE]],"/","~",2))+1,LEN(Tabla1[[#This Row],[ENLACE]]))</f>
        <v>sjk</v>
      </c>
      <c r="B252" s="5" t="s">
        <v>598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NO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599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NO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244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245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246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247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248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249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539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250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251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540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252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253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254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541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255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256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257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258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534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535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259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260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261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262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263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264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265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266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267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268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269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270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271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272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273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274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545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546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547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548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549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550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551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552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553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554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555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556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557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558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275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276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277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278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279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280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536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281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282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283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284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285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286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287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288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537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538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289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290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291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292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293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294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295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296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297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298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299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300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301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302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303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304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305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306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307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308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309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310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311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312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313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314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315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316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317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318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319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320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321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322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323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324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325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326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327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328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NO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329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NO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330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NO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331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NO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332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NO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333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NO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334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NO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335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NO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336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NO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337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NO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338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NO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339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NO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340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NO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341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NO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342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NO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343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NO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344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345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346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347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348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349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350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351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611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352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353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354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355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356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612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357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358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359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360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361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362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363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364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365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366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367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368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369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370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371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372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373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374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375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376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377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378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379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380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381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382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383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384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385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386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387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388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389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390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391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392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393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394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395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396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397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398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399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400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401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402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403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404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405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406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407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408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409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410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411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413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414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573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415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416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574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412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417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418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419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420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421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422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423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424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425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426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575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427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428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429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430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431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432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433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434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435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436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437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438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542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543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544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439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440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530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441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442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443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531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444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532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445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446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447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448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449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450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451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452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533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453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454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NO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455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NO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456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NO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457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NO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458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NO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459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NO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460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NO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461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NO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462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NO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463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NO</v>
      </c>
    </row>
    <row r="564" spans="1:4" x14ac:dyDescent="0.3">
      <c r="A564" t="str">
        <f>MID(Tabla1[[#This Row],[ENLACE]],FIND("~",SUBSTITUTE(Tabla1[[#This Row],[ENLACE]],"/","~",2))+1,LEN(Tabla1[[#This Row],[ENLACE]]))</f>
        <v>malmo-ff</v>
      </c>
      <c r="B564" s="5" t="s">
        <v>464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NO</v>
      </c>
    </row>
    <row r="565" spans="1:4" x14ac:dyDescent="0.3">
      <c r="A565" t="str">
        <f>MID(Tabla1[[#This Row],[ENLACE]],FIND("~",SUBSTITUTE(Tabla1[[#This Row],[ENLACE]],"/","~",2))+1,LEN(Tabla1[[#This Row],[ENLACE]]))</f>
        <v>mjallby-aif</v>
      </c>
      <c r="B565" s="2" t="s">
        <v>465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NO</v>
      </c>
    </row>
    <row r="566" spans="1:4" x14ac:dyDescent="0.3">
      <c r="A566" t="str">
        <f>MID(Tabla1[[#This Row],[ENLACE]],FIND("~",SUBSTITUTE(Tabla1[[#This Row],[ENLACE]],"/","~",2))+1,LEN(Tabla1[[#This Row],[ENLACE]]))</f>
        <v>ifk-norrkoping</v>
      </c>
      <c r="B566" s="5" t="s">
        <v>466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NO</v>
      </c>
    </row>
    <row r="567" spans="1:4" x14ac:dyDescent="0.3">
      <c r="A567" t="str">
        <f>MID(Tabla1[[#This Row],[ENLACE]],FIND("~",SUBSTITUTE(Tabla1[[#This Row],[ENLACE]],"/","~",2))+1,LEN(Tabla1[[#This Row],[ENLACE]]))</f>
        <v>osters-if</v>
      </c>
      <c r="B567" s="2" t="s">
        <v>467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NO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468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NO</v>
      </c>
    </row>
    <row r="569" spans="1:4" x14ac:dyDescent="0.3">
      <c r="A569" t="str">
        <f>MID(Tabla1[[#This Row],[ENLACE]],FIND("~",SUBSTITUTE(Tabla1[[#This Row],[ENLACE]],"/","~",2))+1,LEN(Tabla1[[#This Row],[ENLACE]]))</f>
        <v>ifk-varnamo</v>
      </c>
      <c r="B569" s="2" t="s">
        <v>469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NO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470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471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472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473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474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475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476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477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478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479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480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481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alanyaspor</v>
      </c>
      <c r="B582" t="s">
        <v>482</v>
      </c>
      <c r="C582" t="str">
        <f>_xlfn.TEXTBEFORE(_xlfn.TEXTAFTER(Tabla1[[#This Row],[ENLACE]],"/",1),"/")</f>
        <v>turkey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antalyaspor</v>
      </c>
      <c r="B583" s="7" t="s">
        <v>483</v>
      </c>
      <c r="C583" t="str">
        <f>_xlfn.TEXTBEFORE(_xlfn.TEXTAFTER(Tabla1[[#This Row],[ENLACE]],"/",1),"/")</f>
        <v>turkey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istanbul-basaksehir-fk</v>
      </c>
      <c r="B584" t="s">
        <v>484</v>
      </c>
      <c r="C584" t="str">
        <f>_xlfn.TEXTBEFORE(_xlfn.TEXTAFTER(Tabla1[[#This Row],[ENLACE]],"/",1),"/")</f>
        <v>turkey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besiktas-jk</v>
      </c>
      <c r="B585" s="7" t="s">
        <v>485</v>
      </c>
      <c r="C585" t="str">
        <f>_xlfn.TEXTBEFORE(_xlfn.TEXTAFTER(Tabla1[[#This Row],[ENLACE]],"/",1),"/")</f>
        <v>turkey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eyupspor</v>
      </c>
      <c r="B586" t="s">
        <v>486</v>
      </c>
      <c r="C586" t="str">
        <f>_xlfn.TEXTBEFORE(_xlfn.TEXTAFTER(Tabla1[[#This Row],[ENLACE]],"/",1),"/")</f>
        <v>turkey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fenerbahce-sk</v>
      </c>
      <c r="B587" s="7" t="s">
        <v>487</v>
      </c>
      <c r="C587" t="str">
        <f>_xlfn.TEXTBEFORE(_xlfn.TEXTAFTER(Tabla1[[#This Row],[ENLACE]],"/",1),"/")</f>
        <v>turkey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galatasaray-sk</v>
      </c>
      <c r="B588" t="s">
        <v>488</v>
      </c>
      <c r="C588" t="str">
        <f>_xlfn.TEXTBEFORE(_xlfn.TEXTAFTER(Tabla1[[#This Row],[ENLACE]],"/",1),"/")</f>
        <v>turkey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gaziantep-fk</v>
      </c>
      <c r="B589" s="7" t="s">
        <v>489</v>
      </c>
      <c r="C589" t="str">
        <f>_xlfn.TEXTBEFORE(_xlfn.TEXTAFTER(Tabla1[[#This Row],[ENLACE]],"/",1),"/")</f>
        <v>turkey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genclerbirligi-sk</v>
      </c>
      <c r="B590" t="s">
        <v>490</v>
      </c>
      <c r="C590" t="str">
        <f>_xlfn.TEXTBEFORE(_xlfn.TEXTAFTER(Tabla1[[#This Row],[ENLACE]],"/",1),"/")</f>
        <v>turkey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goztepe-sk</v>
      </c>
      <c r="B591" s="7" t="s">
        <v>491</v>
      </c>
      <c r="C591" t="str">
        <f>_xlfn.TEXTBEFORE(_xlfn.TEXTAFTER(Tabla1[[#This Row],[ENLACE]],"/",1),"/")</f>
        <v>turkey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fatih-karagumruk-sk</v>
      </c>
      <c r="B592" t="s">
        <v>492</v>
      </c>
      <c r="C592" t="str">
        <f>_xlfn.TEXTBEFORE(_xlfn.TEXTAFTER(Tabla1[[#This Row],[ENLACE]],"/",1),"/")</f>
        <v>turkey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kasimpasa-sk</v>
      </c>
      <c r="B593" s="7" t="s">
        <v>493</v>
      </c>
      <c r="C593" t="str">
        <f>_xlfn.TEXTBEFORE(_xlfn.TEXTAFTER(Tabla1[[#This Row],[ENLACE]],"/",1),"/")</f>
        <v>turkey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kayserispor</v>
      </c>
      <c r="B594" t="s">
        <v>494</v>
      </c>
      <c r="C594" t="str">
        <f>_xlfn.TEXTBEFORE(_xlfn.TEXTAFTER(Tabla1[[#This Row],[ENLACE]],"/",1),"/")</f>
        <v>turkey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kocaelispor</v>
      </c>
      <c r="B595" s="7" t="s">
        <v>495</v>
      </c>
      <c r="C595" t="str">
        <f>_xlfn.TEXTBEFORE(_xlfn.TEXTAFTER(Tabla1[[#This Row],[ENLACE]],"/",1),"/")</f>
        <v>turkey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konyaspor</v>
      </c>
      <c r="B596" t="s">
        <v>496</v>
      </c>
      <c r="C596" t="str">
        <f>_xlfn.TEXTBEFORE(_xlfn.TEXTAFTER(Tabla1[[#This Row],[ENLACE]],"/",1),"/")</f>
        <v>turkey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caykur-rizespor</v>
      </c>
      <c r="B597" s="7" t="s">
        <v>497</v>
      </c>
      <c r="C597" t="str">
        <f>_xlfn.TEXTBEFORE(_xlfn.TEXTAFTER(Tabla1[[#This Row],[ENLACE]],"/",1),"/")</f>
        <v>turkey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samsunspor</v>
      </c>
      <c r="B598" t="s">
        <v>498</v>
      </c>
      <c r="C598" t="str">
        <f>_xlfn.TEXTBEFORE(_xlfn.TEXTAFTER(Tabla1[[#This Row],[ENLACE]],"/",1),"/")</f>
        <v>turkey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trabzonspor</v>
      </c>
      <c r="B599" s="7" t="s">
        <v>499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atlanta-united-fc</v>
      </c>
      <c r="B600" t="s">
        <v>500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NO</v>
      </c>
    </row>
    <row r="601" spans="1:4" x14ac:dyDescent="0.3">
      <c r="A601" t="str">
        <f>MID(Tabla1[[#This Row],[ENLACE]],FIND("~",SUBSTITUTE(Tabla1[[#This Row],[ENLACE]],"/","~",2))+1,LEN(Tabla1[[#This Row],[ENLACE]]))</f>
        <v>austin-fc</v>
      </c>
      <c r="B601" s="7" t="s">
        <v>501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NO</v>
      </c>
    </row>
    <row r="602" spans="1:4" x14ac:dyDescent="0.3">
      <c r="A602" t="str">
        <f>MID(Tabla1[[#This Row],[ENLACE]],FIND("~",SUBSTITUTE(Tabla1[[#This Row],[ENLACE]],"/","~",2))+1,LEN(Tabla1[[#This Row],[ENLACE]]))</f>
        <v>club-de-foot-montreal</v>
      </c>
      <c r="B602" t="s">
        <v>502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NO</v>
      </c>
    </row>
    <row r="603" spans="1:4" x14ac:dyDescent="0.3">
      <c r="A603" t="str">
        <f>MID(Tabla1[[#This Row],[ENLACE]],FIND("~",SUBSTITUTE(Tabla1[[#This Row],[ENLACE]],"/","~",2))+1,LEN(Tabla1[[#This Row],[ENLACE]]))</f>
        <v>charlotte-fc</v>
      </c>
      <c r="B603" s="7" t="s">
        <v>503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NO</v>
      </c>
    </row>
    <row r="604" spans="1:4" x14ac:dyDescent="0.3">
      <c r="A604" t="str">
        <f>MID(Tabla1[[#This Row],[ENLACE]],FIND("~",SUBSTITUTE(Tabla1[[#This Row],[ENLACE]],"/","~",2))+1,LEN(Tabla1[[#This Row],[ENLACE]]))</f>
        <v>chicago-fire-fc</v>
      </c>
      <c r="B604" t="s">
        <v>504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NO</v>
      </c>
    </row>
    <row r="605" spans="1:4" x14ac:dyDescent="0.3">
      <c r="A605" t="str">
        <f>MID(Tabla1[[#This Row],[ENLACE]],FIND("~",SUBSTITUTE(Tabla1[[#This Row],[ENLACE]],"/","~",2))+1,LEN(Tabla1[[#This Row],[ENLACE]]))</f>
        <v>fc-cincinnati</v>
      </c>
      <c r="B605" s="7" t="s">
        <v>505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NO</v>
      </c>
    </row>
    <row r="606" spans="1:4" x14ac:dyDescent="0.3">
      <c r="A606" t="str">
        <f>MID(Tabla1[[#This Row],[ENLACE]],FIND("~",SUBSTITUTE(Tabla1[[#This Row],[ENLACE]],"/","~",2))+1,LEN(Tabla1[[#This Row],[ENLACE]]))</f>
        <v>colorado-rapids</v>
      </c>
      <c r="B606" t="s">
        <v>506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NO</v>
      </c>
    </row>
    <row r="607" spans="1:4" x14ac:dyDescent="0.3">
      <c r="A607" t="str">
        <f>MID(Tabla1[[#This Row],[ENLACE]],FIND("~",SUBSTITUTE(Tabla1[[#This Row],[ENLACE]],"/","~",2))+1,LEN(Tabla1[[#This Row],[ENLACE]]))</f>
        <v>columbus-crew-sc</v>
      </c>
      <c r="B607" s="7" t="s">
        <v>507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NO</v>
      </c>
    </row>
    <row r="608" spans="1:4" x14ac:dyDescent="0.3">
      <c r="A608" t="str">
        <f>MID(Tabla1[[#This Row],[ENLACE]],FIND("~",SUBSTITUTE(Tabla1[[#This Row],[ENLACE]],"/","~",2))+1,LEN(Tabla1[[#This Row],[ENLACE]]))</f>
        <v>dc-united</v>
      </c>
      <c r="B608" t="s">
        <v>508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NO</v>
      </c>
    </row>
    <row r="609" spans="1:4" x14ac:dyDescent="0.3">
      <c r="A609" t="str">
        <f>MID(Tabla1[[#This Row],[ENLACE]],FIND("~",SUBSTITUTE(Tabla1[[#This Row],[ENLACE]],"/","~",2))+1,LEN(Tabla1[[#This Row],[ENLACE]]))</f>
        <v>fc-dallas</v>
      </c>
      <c r="B609" s="7" t="s">
        <v>509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NO</v>
      </c>
    </row>
    <row r="610" spans="1:4" x14ac:dyDescent="0.3">
      <c r="A610" t="str">
        <f>MID(Tabla1[[#This Row],[ENLACE]],FIND("~",SUBSTITUTE(Tabla1[[#This Row],[ENLACE]],"/","~",2))+1,LEN(Tabla1[[#This Row],[ENLACE]]))</f>
        <v>houston-dynamo</v>
      </c>
      <c r="B610" t="s">
        <v>510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NO</v>
      </c>
    </row>
    <row r="611" spans="1:4" x14ac:dyDescent="0.3">
      <c r="A611" t="str">
        <f>MID(Tabla1[[#This Row],[ENLACE]],FIND("~",SUBSTITUTE(Tabla1[[#This Row],[ENLACE]],"/","~",2))+1,LEN(Tabla1[[#This Row],[ENLACE]]))</f>
        <v>inter-miami-cf</v>
      </c>
      <c r="B611" s="7" t="s">
        <v>511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NO</v>
      </c>
    </row>
    <row r="612" spans="1:4" x14ac:dyDescent="0.3">
      <c r="A612" t="str">
        <f>MID(Tabla1[[#This Row],[ENLACE]],FIND("~",SUBSTITUTE(Tabla1[[#This Row],[ENLACE]],"/","~",2))+1,LEN(Tabla1[[#This Row],[ENLACE]]))</f>
        <v>los-angeles-fc</v>
      </c>
      <c r="B612" t="s">
        <v>512</v>
      </c>
      <c r="C612" t="str">
        <f>_xlfn.TEXTBEFORE(_xlfn.TEXTAFTER(Tabla1[[#This Row],[ENLACE]],"/",1),"/")</f>
        <v>usa</v>
      </c>
      <c r="D612" s="8" t="str">
        <f ca="1">IF(VLOOKUP(Tabla1[[#This Row],[PAIS]],$G$2:$H$34,2)="x","SI","NO")</f>
        <v>NO</v>
      </c>
    </row>
    <row r="613" spans="1:4" x14ac:dyDescent="0.3">
      <c r="A613" t="str">
        <f>MID(Tabla1[[#This Row],[ENLACE]],FIND("~",SUBSTITUTE(Tabla1[[#This Row],[ENLACE]],"/","~",2))+1,LEN(Tabla1[[#This Row],[ENLACE]]))</f>
        <v>los-angeles-galaxy</v>
      </c>
      <c r="B613" s="7" t="s">
        <v>513</v>
      </c>
      <c r="C613" t="str">
        <f>_xlfn.TEXTBEFORE(_xlfn.TEXTAFTER(Tabla1[[#This Row],[ENLACE]],"/",1),"/")</f>
        <v>usa</v>
      </c>
      <c r="D613" s="8" t="str">
        <f ca="1">IF(VLOOKUP(Tabla1[[#This Row],[PAIS]],$G$2:$H$34,2)="x","SI","NO")</f>
        <v>NO</v>
      </c>
    </row>
    <row r="614" spans="1:4" x14ac:dyDescent="0.3">
      <c r="A614" t="str">
        <f>MID(Tabla1[[#This Row],[ENLACE]],FIND("~",SUBSTITUTE(Tabla1[[#This Row],[ENLACE]],"/","~",2))+1,LEN(Tabla1[[#This Row],[ENLACE]]))</f>
        <v>minnesota-united-fc</v>
      </c>
      <c r="B614" t="s">
        <v>514</v>
      </c>
      <c r="C614" t="str">
        <f>_xlfn.TEXTBEFORE(_xlfn.TEXTAFTER(Tabla1[[#This Row],[ENLACE]],"/",1),"/")</f>
        <v>usa</v>
      </c>
      <c r="D614" s="8" t="str">
        <f ca="1">IF(VLOOKUP(Tabla1[[#This Row],[PAIS]],$G$2:$H$34,2)="x","SI","NO")</f>
        <v>NO</v>
      </c>
    </row>
    <row r="615" spans="1:4" x14ac:dyDescent="0.3">
      <c r="A615" t="str">
        <f>MID(Tabla1[[#This Row],[ENLACE]],FIND("~",SUBSTITUTE(Tabla1[[#This Row],[ENLACE]],"/","~",2))+1,LEN(Tabla1[[#This Row],[ENLACE]]))</f>
        <v>nashville-sc</v>
      </c>
      <c r="B615" s="7" t="s">
        <v>515</v>
      </c>
      <c r="C615" t="str">
        <f>_xlfn.TEXTBEFORE(_xlfn.TEXTAFTER(Tabla1[[#This Row],[ENLACE]],"/",1),"/")</f>
        <v>usa</v>
      </c>
      <c r="D615" s="8" t="str">
        <f ca="1">IF(VLOOKUP(Tabla1[[#This Row],[PAIS]],$G$2:$H$34,2)="x","SI","NO")</f>
        <v>NO</v>
      </c>
    </row>
    <row r="616" spans="1:4" x14ac:dyDescent="0.3">
      <c r="A616" t="str">
        <f>MID(Tabla1[[#This Row],[ENLACE]],FIND("~",SUBSTITUTE(Tabla1[[#This Row],[ENLACE]],"/","~",2))+1,LEN(Tabla1[[#This Row],[ENLACE]]))</f>
        <v>new-england-revolution</v>
      </c>
      <c r="B616" t="s">
        <v>516</v>
      </c>
      <c r="C616" t="str">
        <f>_xlfn.TEXTBEFORE(_xlfn.TEXTAFTER(Tabla1[[#This Row],[ENLACE]],"/",1),"/")</f>
        <v>usa</v>
      </c>
      <c r="D616" s="8" t="str">
        <f ca="1">IF(VLOOKUP(Tabla1[[#This Row],[PAIS]],$G$2:$H$34,2)="x","SI","NO")</f>
        <v>NO</v>
      </c>
    </row>
    <row r="617" spans="1:4" x14ac:dyDescent="0.3">
      <c r="A617" t="str">
        <f>MID(Tabla1[[#This Row],[ENLACE]],FIND("~",SUBSTITUTE(Tabla1[[#This Row],[ENLACE]],"/","~",2))+1,LEN(Tabla1[[#This Row],[ENLACE]]))</f>
        <v>new-york-city-fc</v>
      </c>
      <c r="B617" s="7" t="s">
        <v>517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NO</v>
      </c>
    </row>
    <row r="618" spans="1:4" x14ac:dyDescent="0.3">
      <c r="A618" t="str">
        <f>MID(Tabla1[[#This Row],[ENLACE]],FIND("~",SUBSTITUTE(Tabla1[[#This Row],[ENLACE]],"/","~",2))+1,LEN(Tabla1[[#This Row],[ENLACE]]))</f>
        <v>new-york-red-bulls</v>
      </c>
      <c r="B618" t="s">
        <v>518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NO</v>
      </c>
    </row>
    <row r="619" spans="1:4" x14ac:dyDescent="0.3">
      <c r="A619" t="str">
        <f>MID(Tabla1[[#This Row],[ENLACE]],FIND("~",SUBSTITUTE(Tabla1[[#This Row],[ENLACE]],"/","~",2))+1,LEN(Tabla1[[#This Row],[ENLACE]]))</f>
        <v>orlando-city-sc</v>
      </c>
      <c r="B619" s="7" t="s">
        <v>519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NO</v>
      </c>
    </row>
    <row r="620" spans="1:4" x14ac:dyDescent="0.3">
      <c r="A620" t="str">
        <f>MID(Tabla1[[#This Row],[ENLACE]],FIND("~",SUBSTITUTE(Tabla1[[#This Row],[ENLACE]],"/","~",2))+1,LEN(Tabla1[[#This Row],[ENLACE]]))</f>
        <v>philadelphia-union</v>
      </c>
      <c r="B620" t="s">
        <v>520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NO</v>
      </c>
    </row>
    <row r="621" spans="1:4" x14ac:dyDescent="0.3">
      <c r="A621" t="str">
        <f>MID(Tabla1[[#This Row],[ENLACE]],FIND("~",SUBSTITUTE(Tabla1[[#This Row],[ENLACE]],"/","~",2))+1,LEN(Tabla1[[#This Row],[ENLACE]]))</f>
        <v>portland-timbers</v>
      </c>
      <c r="B621" s="7" t="s">
        <v>521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NO</v>
      </c>
    </row>
    <row r="622" spans="1:4" x14ac:dyDescent="0.3">
      <c r="A622" t="str">
        <f>MID(Tabla1[[#This Row],[ENLACE]],FIND("~",SUBSTITUTE(Tabla1[[#This Row],[ENLACE]],"/","~",2))+1,LEN(Tabla1[[#This Row],[ENLACE]]))</f>
        <v>real-salt-lake</v>
      </c>
      <c r="B622" t="s">
        <v>522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NO</v>
      </c>
    </row>
    <row r="623" spans="1:4" x14ac:dyDescent="0.3">
      <c r="A623" t="str">
        <f>MID(Tabla1[[#This Row],[ENLACE]],FIND("~",SUBSTITUTE(Tabla1[[#This Row],[ENLACE]],"/","~",2))+1,LEN(Tabla1[[#This Row],[ENLACE]]))</f>
        <v>san-diego-fc</v>
      </c>
      <c r="B623" s="7" t="s">
        <v>523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NO</v>
      </c>
    </row>
    <row r="624" spans="1:4" x14ac:dyDescent="0.3">
      <c r="A624" t="str">
        <f>MID(Tabla1[[#This Row],[ENLACE]],FIND("~",SUBSTITUTE(Tabla1[[#This Row],[ENLACE]],"/","~",2))+1,LEN(Tabla1[[#This Row],[ENLACE]]))</f>
        <v>san-jose-earthquakes</v>
      </c>
      <c r="B624" t="s">
        <v>524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NO</v>
      </c>
    </row>
    <row r="625" spans="1:4" x14ac:dyDescent="0.3">
      <c r="A625" t="str">
        <f>MID(Tabla1[[#This Row],[ENLACE]],FIND("~",SUBSTITUTE(Tabla1[[#This Row],[ENLACE]],"/","~",2))+1,LEN(Tabla1[[#This Row],[ENLACE]]))</f>
        <v>seattle-sounders-fc</v>
      </c>
      <c r="B625" s="7" t="s">
        <v>525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NO</v>
      </c>
    </row>
    <row r="626" spans="1:4" x14ac:dyDescent="0.3">
      <c r="A626" t="str">
        <f>MID(Tabla1[[#This Row],[ENLACE]],FIND("~",SUBSTITUTE(Tabla1[[#This Row],[ENLACE]],"/","~",2))+1,LEN(Tabla1[[#This Row],[ENLACE]]))</f>
        <v>sporting-kansas-city</v>
      </c>
      <c r="B626" t="s">
        <v>526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NO</v>
      </c>
    </row>
    <row r="627" spans="1:4" x14ac:dyDescent="0.3">
      <c r="A627" t="str">
        <f>MID(Tabla1[[#This Row],[ENLACE]],FIND("~",SUBSTITUTE(Tabla1[[#This Row],[ENLACE]],"/","~",2))+1,LEN(Tabla1[[#This Row],[ENLACE]]))</f>
        <v>st-louis-city-sc</v>
      </c>
      <c r="B627" s="7" t="s">
        <v>527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NO</v>
      </c>
    </row>
    <row r="628" spans="1:4" x14ac:dyDescent="0.3">
      <c r="A628" t="str">
        <f>MID(Tabla1[[#This Row],[ENLACE]],FIND("~",SUBSTITUTE(Tabla1[[#This Row],[ENLACE]],"/","~",2))+1,LEN(Tabla1[[#This Row],[ENLACE]]))</f>
        <v>toronto-fc</v>
      </c>
      <c r="B628" t="s">
        <v>528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NO</v>
      </c>
    </row>
    <row r="629" spans="1:4" x14ac:dyDescent="0.3">
      <c r="A629" t="str">
        <f>MID(Tabla1[[#This Row],[ENLACE]],FIND("~",SUBSTITUTE(Tabla1[[#This Row],[ENLACE]],"/","~",2))+1,LEN(Tabla1[[#This Row],[ENLACE]]))</f>
        <v>vancouver-whitecaps-fc</v>
      </c>
      <c r="B629" s="7" t="s">
        <v>529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NO</v>
      </c>
    </row>
  </sheetData>
  <conditionalFormatting sqref="J2:J33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2026-02-18T19:35:33Z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